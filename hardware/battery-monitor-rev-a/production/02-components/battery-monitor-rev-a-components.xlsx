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gdan\Documents\Projects\temp_pcb\battery-monitor-rev-a\evidence\imrad-stock-20261025\scratch\imrad-workbook\out\"/>
    </mc:Choice>
  </mc:AlternateContent>
  <xr:revisionPtr revIDLastSave="0" documentId="13_ncr:1_{0CBA1D0A-DA31-489C-A198-DC0D86DFFF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Інструкція" sheetId="1" r:id="rId1"/>
    <sheet name="Список покупок" sheetId="2" r:id="rId2"/>
    <sheet name="Плата" sheetId="3" r:id="rId3"/>
    <sheet name="Набори" sheetId="4" r:id="rId4"/>
    <sheet name="Поза платою" sheetId="5" r:id="rId5"/>
    <sheet name="Кошики" sheetId="6" r:id="rId6"/>
    <sheet name="Пропозиції" sheetId="7" r:id="rId7"/>
  </sheets>
  <definedNames>
    <definedName name="_xlnm._FilterDatabase" localSheetId="2" hidden="1">Плата!$A$5:$AJ$44</definedName>
    <definedName name="_xlnm._FilterDatabase" localSheetId="6" hidden="1">Пропозиції!$A$1:$O$128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6" l="1"/>
  <c r="D10" i="6"/>
  <c r="C10" i="6"/>
  <c r="B10" i="6"/>
  <c r="G10" i="6" s="1"/>
  <c r="D9" i="6"/>
  <c r="C9" i="6"/>
  <c r="B9" i="6"/>
  <c r="G9" i="6" s="1"/>
  <c r="C8" i="6"/>
  <c r="B8" i="6"/>
  <c r="C7" i="6"/>
  <c r="B7" i="6"/>
  <c r="E6" i="6"/>
  <c r="D6" i="6"/>
  <c r="C6" i="6"/>
  <c r="B6" i="6"/>
  <c r="C5" i="6"/>
  <c r="B5" i="6"/>
  <c r="C4" i="6"/>
  <c r="B4" i="6"/>
  <c r="D3" i="6"/>
  <c r="C3" i="6"/>
  <c r="C2" i="6"/>
  <c r="Q13" i="5"/>
  <c r="G13" i="5"/>
  <c r="K13" i="5" s="1"/>
  <c r="Q12" i="5"/>
  <c r="G12" i="5"/>
  <c r="K12" i="5" s="1"/>
  <c r="Q11" i="5"/>
  <c r="G11" i="5"/>
  <c r="K11" i="5" s="1"/>
  <c r="Q10" i="5"/>
  <c r="G10" i="5"/>
  <c r="K10" i="5" s="1"/>
  <c r="Q9" i="5"/>
  <c r="G9" i="5"/>
  <c r="K9" i="5" s="1"/>
  <c r="Q8" i="5"/>
  <c r="G8" i="5"/>
  <c r="K8" i="5" s="1"/>
  <c r="Q7" i="5"/>
  <c r="G7" i="5"/>
  <c r="K7" i="5" s="1"/>
  <c r="Q6" i="5"/>
  <c r="G6" i="5"/>
  <c r="K6" i="5" s="1"/>
  <c r="Q5" i="5"/>
  <c r="G5" i="5"/>
  <c r="K5" i="5" s="1"/>
  <c r="K5" i="4"/>
  <c r="L5" i="4" s="1"/>
  <c r="F45" i="3"/>
  <c r="R44" i="3"/>
  <c r="M44" i="3"/>
  <c r="L44" i="3"/>
  <c r="AJ44" i="3" s="1"/>
  <c r="H44" i="3"/>
  <c r="I44" i="3" s="1"/>
  <c r="R43" i="3"/>
  <c r="H43" i="3"/>
  <c r="R42" i="3"/>
  <c r="H42" i="3"/>
  <c r="I42" i="3" s="1"/>
  <c r="L42" i="3" s="1"/>
  <c r="R41" i="3"/>
  <c r="H41" i="3"/>
  <c r="I41" i="3" s="1"/>
  <c r="L41" i="3" s="1"/>
  <c r="AJ40" i="3"/>
  <c r="R40" i="3"/>
  <c r="M40" i="3"/>
  <c r="L40" i="3"/>
  <c r="S40" i="3" s="1"/>
  <c r="H40" i="3"/>
  <c r="I40" i="3" s="1"/>
  <c r="R39" i="3"/>
  <c r="I39" i="3"/>
  <c r="L39" i="3" s="1"/>
  <c r="H39" i="3"/>
  <c r="R38" i="3"/>
  <c r="M38" i="3"/>
  <c r="L38" i="3"/>
  <c r="AJ38" i="3" s="1"/>
  <c r="H38" i="3"/>
  <c r="I38" i="3" s="1"/>
  <c r="R37" i="3"/>
  <c r="H37" i="3"/>
  <c r="R36" i="3"/>
  <c r="H36" i="3"/>
  <c r="R35" i="3"/>
  <c r="H35" i="3"/>
  <c r="R34" i="3"/>
  <c r="H34" i="3"/>
  <c r="I34" i="3" s="1"/>
  <c r="L34" i="3" s="1"/>
  <c r="R33" i="3"/>
  <c r="H33" i="3"/>
  <c r="I33" i="3" s="1"/>
  <c r="L33" i="3" s="1"/>
  <c r="R32" i="3"/>
  <c r="H32" i="3"/>
  <c r="I32" i="3" s="1"/>
  <c r="R31" i="3"/>
  <c r="H31" i="3"/>
  <c r="R30" i="3"/>
  <c r="H30" i="3"/>
  <c r="I30" i="3" s="1"/>
  <c r="L30" i="3" s="1"/>
  <c r="R29" i="3"/>
  <c r="H29" i="3"/>
  <c r="R28" i="3"/>
  <c r="H28" i="3"/>
  <c r="R27" i="3"/>
  <c r="I27" i="3"/>
  <c r="L27" i="3" s="1"/>
  <c r="H27" i="3"/>
  <c r="R26" i="3"/>
  <c r="H26" i="3"/>
  <c r="I26" i="3" s="1"/>
  <c r="L26" i="3" s="1"/>
  <c r="R25" i="3"/>
  <c r="I25" i="3"/>
  <c r="L25" i="3" s="1"/>
  <c r="H25" i="3"/>
  <c r="R24" i="3"/>
  <c r="H24" i="3"/>
  <c r="R23" i="3"/>
  <c r="H23" i="3"/>
  <c r="R22" i="3"/>
  <c r="H22" i="3"/>
  <c r="I22" i="3" s="1"/>
  <c r="L22" i="3" s="1"/>
  <c r="R21" i="3"/>
  <c r="H21" i="3"/>
  <c r="I21" i="3" s="1"/>
  <c r="L21" i="3" s="1"/>
  <c r="R20" i="3"/>
  <c r="H20" i="3"/>
  <c r="I20" i="3" s="1"/>
  <c r="L20" i="3" s="1"/>
  <c r="R19" i="3"/>
  <c r="H19" i="3"/>
  <c r="R18" i="3"/>
  <c r="M18" i="3"/>
  <c r="L18" i="3"/>
  <c r="S18" i="3" s="1"/>
  <c r="H18" i="3"/>
  <c r="I18" i="3" s="1"/>
  <c r="R17" i="3"/>
  <c r="H17" i="3"/>
  <c r="I17" i="3" s="1"/>
  <c r="L17" i="3" s="1"/>
  <c r="R16" i="3"/>
  <c r="H16" i="3"/>
  <c r="R15" i="3"/>
  <c r="H15" i="3"/>
  <c r="I15" i="3" s="1"/>
  <c r="L15" i="3" s="1"/>
  <c r="R14" i="3"/>
  <c r="H14" i="3"/>
  <c r="I14" i="3" s="1"/>
  <c r="L14" i="3" s="1"/>
  <c r="R13" i="3"/>
  <c r="H13" i="3"/>
  <c r="R12" i="3"/>
  <c r="H12" i="3"/>
  <c r="R11" i="3"/>
  <c r="H11" i="3"/>
  <c r="R10" i="3"/>
  <c r="H10" i="3"/>
  <c r="I10" i="3" s="1"/>
  <c r="L10" i="3" s="1"/>
  <c r="R9" i="3"/>
  <c r="H9" i="3"/>
  <c r="I9" i="3" s="1"/>
  <c r="L9" i="3" s="1"/>
  <c r="R8" i="3"/>
  <c r="H8" i="3"/>
  <c r="R7" i="3"/>
  <c r="H7" i="3"/>
  <c r="I7" i="3" s="1"/>
  <c r="L7" i="3" s="1"/>
  <c r="R6" i="3"/>
  <c r="H6" i="3"/>
  <c r="I47" i="2"/>
  <c r="H47" i="2"/>
  <c r="G47" i="2"/>
  <c r="G48" i="2" s="1"/>
  <c r="F47" i="2"/>
  <c r="E47" i="2"/>
  <c r="D47" i="2"/>
  <c r="C47" i="2"/>
  <c r="A47" i="2"/>
  <c r="C24" i="1"/>
  <c r="C23" i="1"/>
  <c r="L6" i="4" l="1"/>
  <c r="C17" i="1" s="1"/>
  <c r="E9" i="6"/>
  <c r="C11" i="6"/>
  <c r="I6" i="3"/>
  <c r="L6" i="3" s="1"/>
  <c r="AJ18" i="3"/>
  <c r="G6" i="6"/>
  <c r="I13" i="3"/>
  <c r="L13" i="3" s="1"/>
  <c r="L32" i="3"/>
  <c r="AJ32" i="3" s="1"/>
  <c r="S44" i="3"/>
  <c r="S38" i="3"/>
  <c r="AJ27" i="3"/>
  <c r="S27" i="3"/>
  <c r="M27" i="3"/>
  <c r="AJ10" i="3"/>
  <c r="S10" i="3"/>
  <c r="M10" i="3"/>
  <c r="AA13" i="5"/>
  <c r="R13" i="5"/>
  <c r="AJ33" i="3"/>
  <c r="S33" i="3"/>
  <c r="M33" i="3"/>
  <c r="D8" i="6"/>
  <c r="AA12" i="5"/>
  <c r="R12" i="5"/>
  <c r="E8" i="6" s="1"/>
  <c r="G8" i="6" s="1"/>
  <c r="AJ34" i="3"/>
  <c r="S34" i="3"/>
  <c r="M34" i="3"/>
  <c r="AJ41" i="3"/>
  <c r="S41" i="3"/>
  <c r="M41" i="3"/>
  <c r="AJ21" i="3"/>
  <c r="S21" i="3"/>
  <c r="M21" i="3"/>
  <c r="AA10" i="5"/>
  <c r="R10" i="5"/>
  <c r="D5" i="6"/>
  <c r="G5" i="6" s="1"/>
  <c r="AJ42" i="3"/>
  <c r="S42" i="3"/>
  <c r="M42" i="3"/>
  <c r="AA7" i="5"/>
  <c r="R7" i="5"/>
  <c r="AJ30" i="3"/>
  <c r="S30" i="3"/>
  <c r="M30" i="3"/>
  <c r="AJ7" i="3"/>
  <c r="S7" i="3"/>
  <c r="M7" i="3"/>
  <c r="AJ39" i="3"/>
  <c r="S39" i="3"/>
  <c r="M39" i="3"/>
  <c r="AJ17" i="3"/>
  <c r="S17" i="3"/>
  <c r="C22" i="1"/>
  <c r="M17" i="3"/>
  <c r="AJ20" i="3"/>
  <c r="S20" i="3"/>
  <c r="M20" i="3"/>
  <c r="AJ14" i="3"/>
  <c r="S14" i="3"/>
  <c r="M14" i="3"/>
  <c r="D4" i="6"/>
  <c r="G4" i="6" s="1"/>
  <c r="AA8" i="5"/>
  <c r="R8" i="5"/>
  <c r="AJ9" i="3"/>
  <c r="S9" i="3"/>
  <c r="M9" i="3"/>
  <c r="D2" i="6"/>
  <c r="AA6" i="5"/>
  <c r="R6" i="5"/>
  <c r="AJ25" i="3"/>
  <c r="S25" i="3"/>
  <c r="M25" i="3"/>
  <c r="AJ26" i="3"/>
  <c r="S26" i="3"/>
  <c r="M26" i="3"/>
  <c r="AA11" i="5"/>
  <c r="R11" i="5"/>
  <c r="S22" i="3"/>
  <c r="M22" i="3"/>
  <c r="AJ22" i="3"/>
  <c r="D7" i="6"/>
  <c r="AA5" i="5"/>
  <c r="R5" i="5"/>
  <c r="AJ15" i="3"/>
  <c r="S15" i="3"/>
  <c r="M15" i="3"/>
  <c r="AA9" i="5"/>
  <c r="R9" i="5"/>
  <c r="I23" i="3"/>
  <c r="L23" i="3" s="1"/>
  <c r="I37" i="3"/>
  <c r="L37" i="3" s="1"/>
  <c r="I28" i="3"/>
  <c r="L28" i="3" s="1"/>
  <c r="I19" i="3"/>
  <c r="L19" i="3" s="1"/>
  <c r="I24" i="3"/>
  <c r="L24" i="3" s="1"/>
  <c r="I29" i="3"/>
  <c r="L29" i="3" s="1"/>
  <c r="I11" i="3"/>
  <c r="L11" i="3" s="1"/>
  <c r="I43" i="3"/>
  <c r="L43" i="3" s="1"/>
  <c r="I16" i="3"/>
  <c r="L16" i="3" s="1"/>
  <c r="I12" i="3"/>
  <c r="L12" i="3" s="1"/>
  <c r="I35" i="3"/>
  <c r="L35" i="3" s="1"/>
  <c r="I8" i="3"/>
  <c r="L8" i="3" s="1"/>
  <c r="I31" i="3"/>
  <c r="L31" i="3" s="1"/>
  <c r="I36" i="3"/>
  <c r="L36" i="3" s="1"/>
  <c r="M13" i="3" l="1"/>
  <c r="AJ13" i="3"/>
  <c r="S13" i="3"/>
  <c r="S6" i="3"/>
  <c r="M6" i="3"/>
  <c r="AJ6" i="3"/>
  <c r="K36" i="2" s="1"/>
  <c r="L36" i="2" s="1"/>
  <c r="M32" i="3"/>
  <c r="S32" i="3"/>
  <c r="AJ11" i="3"/>
  <c r="S11" i="3"/>
  <c r="M11" i="3"/>
  <c r="AJ37" i="3"/>
  <c r="S37" i="3"/>
  <c r="M37" i="3"/>
  <c r="AJ16" i="3"/>
  <c r="S16" i="3"/>
  <c r="M16" i="3"/>
  <c r="AJ29" i="3"/>
  <c r="S29" i="3"/>
  <c r="M29" i="3"/>
  <c r="AJ28" i="3"/>
  <c r="S28" i="3"/>
  <c r="M28" i="3"/>
  <c r="AJ31" i="3"/>
  <c r="S31" i="3"/>
  <c r="M31" i="3"/>
  <c r="AJ19" i="3"/>
  <c r="S19" i="3"/>
  <c r="M19" i="3"/>
  <c r="AJ43" i="3"/>
  <c r="S43" i="3"/>
  <c r="E3" i="6" s="1"/>
  <c r="M43" i="3"/>
  <c r="B3" i="6"/>
  <c r="G3" i="6" s="1"/>
  <c r="AJ24" i="3"/>
  <c r="M24" i="3"/>
  <c r="S24" i="3"/>
  <c r="AJ23" i="3"/>
  <c r="S23" i="3"/>
  <c r="M23" i="3"/>
  <c r="M36" i="3"/>
  <c r="AJ36" i="3"/>
  <c r="S36" i="3"/>
  <c r="AJ8" i="3"/>
  <c r="K21" i="2" s="1"/>
  <c r="L21" i="2" s="1"/>
  <c r="S8" i="3"/>
  <c r="M8" i="3"/>
  <c r="S46" i="3"/>
  <c r="C20" i="1" s="1"/>
  <c r="C21" i="1"/>
  <c r="B2" i="6"/>
  <c r="AJ35" i="3"/>
  <c r="S35" i="3"/>
  <c r="M35" i="3"/>
  <c r="AJ12" i="3"/>
  <c r="S12" i="3"/>
  <c r="M12" i="3"/>
  <c r="D11" i="6"/>
  <c r="E4" i="6"/>
  <c r="E5" i="6"/>
  <c r="R14" i="5"/>
  <c r="C18" i="1" s="1"/>
  <c r="E7" i="6"/>
  <c r="G7" i="6" s="1"/>
  <c r="K53" i="2"/>
  <c r="L53" i="2" s="1"/>
  <c r="K58" i="2"/>
  <c r="L58" i="2" s="1"/>
  <c r="K52" i="2"/>
  <c r="L52" i="2" s="1"/>
  <c r="K55" i="2"/>
  <c r="L55" i="2" s="1"/>
  <c r="K57" i="2"/>
  <c r="L57" i="2" s="1"/>
  <c r="K54" i="2"/>
  <c r="L54" i="2" s="1"/>
  <c r="K59" i="2"/>
  <c r="L59" i="2" s="1"/>
  <c r="K51" i="2"/>
  <c r="L51" i="2" s="1"/>
  <c r="K56" i="2"/>
  <c r="L56" i="2" s="1"/>
  <c r="K28" i="2" l="1"/>
  <c r="L28" i="2" s="1"/>
  <c r="E2" i="6"/>
  <c r="E11" i="6" s="1"/>
  <c r="K16" i="2"/>
  <c r="L16" i="2" s="1"/>
  <c r="K29" i="2"/>
  <c r="L29" i="2" s="1"/>
  <c r="K42" i="2"/>
  <c r="L42" i="2" s="1"/>
  <c r="K34" i="2"/>
  <c r="L34" i="2" s="1"/>
  <c r="K26" i="2"/>
  <c r="L26" i="2" s="1"/>
  <c r="B16" i="2"/>
  <c r="J16" i="2"/>
  <c r="I16" i="2"/>
  <c r="H16" i="2"/>
  <c r="G16" i="2"/>
  <c r="F16" i="2"/>
  <c r="E16" i="2"/>
  <c r="C16" i="2"/>
  <c r="D16" i="2"/>
  <c r="A16" i="2"/>
  <c r="B29" i="2"/>
  <c r="A29" i="2"/>
  <c r="D29" i="2"/>
  <c r="F29" i="2"/>
  <c r="J29" i="2"/>
  <c r="I29" i="2"/>
  <c r="G29" i="2"/>
  <c r="H29" i="2"/>
  <c r="E29" i="2"/>
  <c r="C29" i="2"/>
  <c r="J28" i="2"/>
  <c r="A28" i="2"/>
  <c r="I28" i="2"/>
  <c r="H28" i="2"/>
  <c r="G28" i="2"/>
  <c r="F28" i="2"/>
  <c r="E28" i="2"/>
  <c r="D28" i="2"/>
  <c r="C28" i="2"/>
  <c r="B28" i="2"/>
  <c r="F34" i="2"/>
  <c r="E34" i="2"/>
  <c r="D34" i="2"/>
  <c r="C34" i="2"/>
  <c r="B34" i="2"/>
  <c r="A34" i="2"/>
  <c r="H34" i="2"/>
  <c r="J34" i="2"/>
  <c r="I34" i="2"/>
  <c r="G34" i="2"/>
  <c r="H56" i="2"/>
  <c r="G56" i="2"/>
  <c r="F56" i="2"/>
  <c r="E56" i="2"/>
  <c r="D56" i="2"/>
  <c r="C56" i="2"/>
  <c r="B56" i="2"/>
  <c r="A56" i="2"/>
  <c r="J56" i="2"/>
  <c r="I56" i="2"/>
  <c r="D51" i="2"/>
  <c r="C51" i="2"/>
  <c r="B51" i="2"/>
  <c r="A51" i="2"/>
  <c r="F51" i="2"/>
  <c r="J51" i="2"/>
  <c r="I51" i="2"/>
  <c r="H51" i="2"/>
  <c r="G51" i="2"/>
  <c r="E51" i="2"/>
  <c r="J36" i="2"/>
  <c r="A36" i="2"/>
  <c r="I36" i="2"/>
  <c r="H36" i="2"/>
  <c r="G36" i="2"/>
  <c r="F36" i="2"/>
  <c r="E36" i="2"/>
  <c r="C36" i="2"/>
  <c r="D36" i="2"/>
  <c r="B36" i="2"/>
  <c r="D59" i="2"/>
  <c r="C59" i="2"/>
  <c r="B59" i="2"/>
  <c r="A59" i="2"/>
  <c r="H59" i="2"/>
  <c r="F59" i="2"/>
  <c r="J59" i="2"/>
  <c r="I59" i="2"/>
  <c r="G59" i="2"/>
  <c r="E59" i="2"/>
  <c r="B21" i="2"/>
  <c r="A21" i="2"/>
  <c r="D21" i="2"/>
  <c r="J21" i="2"/>
  <c r="F21" i="2"/>
  <c r="I21" i="2"/>
  <c r="G21" i="2"/>
  <c r="H21" i="2"/>
  <c r="E21" i="2"/>
  <c r="C21" i="2"/>
  <c r="K10" i="2"/>
  <c r="L10" i="2" s="1"/>
  <c r="K5" i="2"/>
  <c r="L5" i="2" s="1"/>
  <c r="K13" i="2"/>
  <c r="L13" i="2" s="1"/>
  <c r="K37" i="2"/>
  <c r="L37" i="2" s="1"/>
  <c r="J52" i="2"/>
  <c r="I52" i="2"/>
  <c r="H52" i="2"/>
  <c r="G52" i="2"/>
  <c r="F52" i="2"/>
  <c r="D52" i="2"/>
  <c r="E52" i="2"/>
  <c r="C52" i="2"/>
  <c r="B52" i="2"/>
  <c r="A52" i="2"/>
  <c r="K40" i="2"/>
  <c r="L40" i="2" s="1"/>
  <c r="F26" i="2"/>
  <c r="E26" i="2"/>
  <c r="D26" i="2"/>
  <c r="C26" i="2"/>
  <c r="B26" i="2"/>
  <c r="A26" i="2"/>
  <c r="J26" i="2"/>
  <c r="I26" i="2"/>
  <c r="G26" i="2"/>
  <c r="H26" i="2"/>
  <c r="K24" i="2"/>
  <c r="L24" i="2" s="1"/>
  <c r="S45" i="3"/>
  <c r="C16" i="1" s="1"/>
  <c r="C19" i="1" s="1"/>
  <c r="G55" i="2"/>
  <c r="J55" i="2"/>
  <c r="I55" i="2"/>
  <c r="H55" i="2"/>
  <c r="F55" i="2"/>
  <c r="E55" i="2"/>
  <c r="D55" i="2"/>
  <c r="C55" i="2"/>
  <c r="B55" i="2"/>
  <c r="A55" i="2"/>
  <c r="K8" i="2"/>
  <c r="L8" i="2" s="1"/>
  <c r="H57" i="2"/>
  <c r="J57" i="2"/>
  <c r="I57" i="2"/>
  <c r="G57" i="2"/>
  <c r="F57" i="2"/>
  <c r="E57" i="2"/>
  <c r="D57" i="2"/>
  <c r="C57" i="2"/>
  <c r="B57" i="2"/>
  <c r="A57" i="2"/>
  <c r="K32" i="2"/>
  <c r="L32" i="2" s="1"/>
  <c r="B54" i="2"/>
  <c r="J54" i="2"/>
  <c r="I54" i="2"/>
  <c r="H54" i="2"/>
  <c r="G54" i="2"/>
  <c r="D54" i="2"/>
  <c r="F54" i="2"/>
  <c r="E54" i="2"/>
  <c r="C54" i="2"/>
  <c r="A54" i="2"/>
  <c r="K11" i="2"/>
  <c r="L11" i="2" s="1"/>
  <c r="K27" i="2"/>
  <c r="L27" i="2" s="1"/>
  <c r="K35" i="2"/>
  <c r="L35" i="2" s="1"/>
  <c r="B11" i="6"/>
  <c r="G2" i="6"/>
  <c r="K15" i="2"/>
  <c r="L15" i="2" s="1"/>
  <c r="K41" i="2"/>
  <c r="L41" i="2" s="1"/>
  <c r="K19" i="2"/>
  <c r="L19" i="2" s="1"/>
  <c r="K43" i="2"/>
  <c r="L43" i="2" s="1"/>
  <c r="K9" i="2"/>
  <c r="L9" i="2" s="1"/>
  <c r="K33" i="2"/>
  <c r="L33" i="2" s="1"/>
  <c r="K23" i="2"/>
  <c r="L23" i="2" s="1"/>
  <c r="K22" i="2"/>
  <c r="L22" i="2" s="1"/>
  <c r="J58" i="2"/>
  <c r="I58" i="2"/>
  <c r="H58" i="2"/>
  <c r="G58" i="2"/>
  <c r="C58" i="2"/>
  <c r="F58" i="2"/>
  <c r="E58" i="2"/>
  <c r="D58" i="2"/>
  <c r="B58" i="2"/>
  <c r="A58" i="2"/>
  <c r="K14" i="2"/>
  <c r="L14" i="2" s="1"/>
  <c r="K30" i="2"/>
  <c r="L30" i="2" s="1"/>
  <c r="K6" i="2"/>
  <c r="L6" i="2" s="1"/>
  <c r="K31" i="2"/>
  <c r="L31" i="2" s="1"/>
  <c r="K12" i="2"/>
  <c r="L12" i="2" s="1"/>
  <c r="J53" i="2"/>
  <c r="I53" i="2"/>
  <c r="H53" i="2"/>
  <c r="G53" i="2"/>
  <c r="F53" i="2"/>
  <c r="E53" i="2"/>
  <c r="D53" i="2"/>
  <c r="C53" i="2"/>
  <c r="B53" i="2"/>
  <c r="A53" i="2"/>
  <c r="K38" i="2"/>
  <c r="L38" i="2" s="1"/>
  <c r="K17" i="2"/>
  <c r="L17" i="2" s="1"/>
  <c r="K25" i="2"/>
  <c r="L25" i="2" s="1"/>
  <c r="K7" i="2"/>
  <c r="L7" i="2" s="1"/>
  <c r="K39" i="2"/>
  <c r="L39" i="2" s="1"/>
  <c r="K20" i="2"/>
  <c r="L20" i="2" s="1"/>
  <c r="F42" i="2"/>
  <c r="E42" i="2"/>
  <c r="D42" i="2"/>
  <c r="C42" i="2"/>
  <c r="B42" i="2"/>
  <c r="A42" i="2"/>
  <c r="J42" i="2"/>
  <c r="I42" i="2"/>
  <c r="H42" i="2"/>
  <c r="G42" i="2"/>
  <c r="K18" i="2"/>
  <c r="L18" i="2" s="1"/>
  <c r="G60" i="2" l="1"/>
  <c r="A8" i="2"/>
  <c r="J8" i="2"/>
  <c r="B8" i="2"/>
  <c r="I8" i="2"/>
  <c r="H8" i="2"/>
  <c r="G8" i="2"/>
  <c r="F8" i="2"/>
  <c r="E8" i="2"/>
  <c r="D8" i="2"/>
  <c r="C8" i="2"/>
  <c r="J39" i="2"/>
  <c r="I39" i="2"/>
  <c r="H39" i="2"/>
  <c r="G39" i="2"/>
  <c r="F39" i="2"/>
  <c r="E39" i="2"/>
  <c r="D39" i="2"/>
  <c r="C39" i="2"/>
  <c r="B39" i="2"/>
  <c r="A39" i="2"/>
  <c r="F10" i="2"/>
  <c r="E10" i="2"/>
  <c r="D10" i="2"/>
  <c r="C10" i="2"/>
  <c r="J10" i="2"/>
  <c r="B10" i="2"/>
  <c r="A10" i="2"/>
  <c r="I10" i="2"/>
  <c r="H10" i="2"/>
  <c r="G10" i="2"/>
  <c r="J7" i="2"/>
  <c r="H7" i="2"/>
  <c r="G7" i="2"/>
  <c r="F7" i="2"/>
  <c r="C7" i="2"/>
  <c r="E7" i="2"/>
  <c r="D7" i="2"/>
  <c r="B7" i="2"/>
  <c r="A7" i="2"/>
  <c r="I7" i="2"/>
  <c r="J41" i="2"/>
  <c r="I41" i="2"/>
  <c r="E41" i="2"/>
  <c r="H41" i="2"/>
  <c r="G41" i="2"/>
  <c r="F41" i="2"/>
  <c r="D41" i="2"/>
  <c r="C41" i="2"/>
  <c r="B41" i="2"/>
  <c r="A41" i="2"/>
  <c r="J43" i="2"/>
  <c r="F43" i="2"/>
  <c r="I43" i="2"/>
  <c r="H43" i="2"/>
  <c r="G43" i="2"/>
  <c r="E43" i="2"/>
  <c r="D43" i="2"/>
  <c r="C43" i="2"/>
  <c r="B43" i="2"/>
  <c r="A43" i="2"/>
  <c r="J27" i="2"/>
  <c r="G27" i="2"/>
  <c r="F27" i="2"/>
  <c r="I27" i="2"/>
  <c r="H27" i="2"/>
  <c r="E27" i="2"/>
  <c r="D27" i="2"/>
  <c r="C27" i="2"/>
  <c r="B27" i="2"/>
  <c r="A27" i="2"/>
  <c r="B37" i="2"/>
  <c r="A37" i="2"/>
  <c r="D37" i="2"/>
  <c r="F37" i="2"/>
  <c r="J37" i="2"/>
  <c r="I37" i="2"/>
  <c r="H37" i="2"/>
  <c r="G37" i="2"/>
  <c r="E37" i="2"/>
  <c r="C37" i="2"/>
  <c r="I38" i="2"/>
  <c r="J38" i="2"/>
  <c r="H38" i="2"/>
  <c r="G38" i="2"/>
  <c r="F38" i="2"/>
  <c r="B38" i="2"/>
  <c r="E38" i="2"/>
  <c r="D38" i="2"/>
  <c r="C38" i="2"/>
  <c r="A38" i="2"/>
  <c r="J25" i="2"/>
  <c r="I25" i="2"/>
  <c r="G25" i="2"/>
  <c r="H25" i="2"/>
  <c r="E25" i="2"/>
  <c r="F25" i="2"/>
  <c r="D25" i="2"/>
  <c r="C25" i="2"/>
  <c r="B25" i="2"/>
  <c r="A25" i="2"/>
  <c r="J15" i="2"/>
  <c r="I15" i="2"/>
  <c r="H15" i="2"/>
  <c r="G15" i="2"/>
  <c r="F15" i="2"/>
  <c r="E15" i="2"/>
  <c r="D15" i="2"/>
  <c r="C15" i="2"/>
  <c r="B15" i="2"/>
  <c r="A15" i="2"/>
  <c r="B5" i="2"/>
  <c r="A5" i="2"/>
  <c r="E5" i="2"/>
  <c r="D5" i="2"/>
  <c r="J5" i="2"/>
  <c r="I5" i="2"/>
  <c r="H5" i="2"/>
  <c r="G5" i="2"/>
  <c r="F5" i="2"/>
  <c r="C5" i="2"/>
  <c r="I6" i="2"/>
  <c r="B6" i="2"/>
  <c r="J6" i="2"/>
  <c r="H6" i="2"/>
  <c r="G6" i="2"/>
  <c r="F6" i="2"/>
  <c r="E6" i="2"/>
  <c r="D6" i="2"/>
  <c r="C6" i="2"/>
  <c r="A6" i="2"/>
  <c r="J33" i="2"/>
  <c r="I33" i="2"/>
  <c r="G33" i="2"/>
  <c r="E33" i="2"/>
  <c r="H33" i="2"/>
  <c r="F33" i="2"/>
  <c r="D33" i="2"/>
  <c r="C33" i="2"/>
  <c r="B33" i="2"/>
  <c r="A33" i="2"/>
  <c r="B13" i="2"/>
  <c r="E13" i="2"/>
  <c r="F13" i="2"/>
  <c r="J13" i="2"/>
  <c r="I13" i="2"/>
  <c r="H13" i="2"/>
  <c r="G13" i="2"/>
  <c r="D13" i="2"/>
  <c r="C13" i="2"/>
  <c r="A13" i="2"/>
  <c r="F11" i="2"/>
  <c r="J11" i="2"/>
  <c r="I11" i="2"/>
  <c r="H11" i="2"/>
  <c r="G11" i="2"/>
  <c r="E11" i="2"/>
  <c r="D11" i="2"/>
  <c r="C11" i="2"/>
  <c r="B11" i="2"/>
  <c r="A11" i="2"/>
  <c r="F18" i="2"/>
  <c r="D18" i="2"/>
  <c r="C18" i="2"/>
  <c r="B18" i="2"/>
  <c r="I18" i="2"/>
  <c r="A18" i="2"/>
  <c r="J18" i="2"/>
  <c r="H18" i="2"/>
  <c r="G18" i="2"/>
  <c r="E18" i="2"/>
  <c r="I14" i="2"/>
  <c r="J14" i="2"/>
  <c r="H14" i="2"/>
  <c r="G14" i="2"/>
  <c r="F14" i="2"/>
  <c r="B14" i="2"/>
  <c r="E14" i="2"/>
  <c r="D14" i="2"/>
  <c r="C14" i="2"/>
  <c r="A14" i="2"/>
  <c r="J32" i="2"/>
  <c r="I32" i="2"/>
  <c r="B32" i="2"/>
  <c r="H32" i="2"/>
  <c r="G32" i="2"/>
  <c r="F32" i="2"/>
  <c r="E32" i="2"/>
  <c r="D32" i="2"/>
  <c r="C32" i="2"/>
  <c r="A32" i="2"/>
  <c r="F19" i="2"/>
  <c r="J19" i="2"/>
  <c r="G19" i="2"/>
  <c r="I19" i="2"/>
  <c r="H19" i="2"/>
  <c r="E19" i="2"/>
  <c r="D19" i="2"/>
  <c r="C19" i="2"/>
  <c r="B19" i="2"/>
  <c r="A19" i="2"/>
  <c r="J31" i="2"/>
  <c r="I31" i="2"/>
  <c r="H31" i="2"/>
  <c r="G31" i="2"/>
  <c r="F31" i="2"/>
  <c r="E31" i="2"/>
  <c r="D31" i="2"/>
  <c r="C31" i="2"/>
  <c r="B31" i="2"/>
  <c r="A31" i="2"/>
  <c r="B30" i="2"/>
  <c r="I30" i="2"/>
  <c r="J30" i="2"/>
  <c r="H30" i="2"/>
  <c r="G30" i="2"/>
  <c r="F30" i="2"/>
  <c r="E30" i="2"/>
  <c r="D30" i="2"/>
  <c r="C30" i="2"/>
  <c r="A30" i="2"/>
  <c r="J40" i="2"/>
  <c r="I40" i="2"/>
  <c r="H40" i="2"/>
  <c r="G40" i="2"/>
  <c r="F40" i="2"/>
  <c r="E40" i="2"/>
  <c r="B40" i="2"/>
  <c r="D40" i="2"/>
  <c r="C40" i="2"/>
  <c r="A40" i="2"/>
  <c r="E9" i="2"/>
  <c r="J9" i="2"/>
  <c r="I9" i="2"/>
  <c r="G9" i="2"/>
  <c r="H9" i="2"/>
  <c r="F9" i="2"/>
  <c r="D9" i="2"/>
  <c r="C9" i="2"/>
  <c r="B9" i="2"/>
  <c r="A9" i="2"/>
  <c r="J24" i="2"/>
  <c r="I24" i="2"/>
  <c r="H24" i="2"/>
  <c r="G24" i="2"/>
  <c r="F24" i="2"/>
  <c r="E24" i="2"/>
  <c r="C24" i="2"/>
  <c r="D24" i="2"/>
  <c r="B24" i="2"/>
  <c r="A24" i="2"/>
  <c r="E17" i="2"/>
  <c r="J17" i="2"/>
  <c r="I17" i="2"/>
  <c r="H17" i="2"/>
  <c r="G17" i="2"/>
  <c r="F17" i="2"/>
  <c r="D17" i="2"/>
  <c r="C17" i="2"/>
  <c r="B17" i="2"/>
  <c r="A17" i="2"/>
  <c r="F35" i="2"/>
  <c r="J35" i="2"/>
  <c r="I35" i="2"/>
  <c r="H35" i="2"/>
  <c r="G35" i="2"/>
  <c r="E35" i="2"/>
  <c r="D35" i="2"/>
  <c r="C35" i="2"/>
  <c r="B35" i="2"/>
  <c r="A35" i="2"/>
  <c r="J12" i="2"/>
  <c r="I12" i="2"/>
  <c r="H12" i="2"/>
  <c r="G12" i="2"/>
  <c r="C12" i="2"/>
  <c r="F12" i="2"/>
  <c r="E12" i="2"/>
  <c r="A12" i="2"/>
  <c r="D12" i="2"/>
  <c r="B12" i="2"/>
  <c r="I22" i="2"/>
  <c r="B22" i="2"/>
  <c r="J22" i="2"/>
  <c r="H22" i="2"/>
  <c r="G22" i="2"/>
  <c r="F22" i="2"/>
  <c r="C22" i="2"/>
  <c r="E22" i="2"/>
  <c r="D22" i="2"/>
  <c r="A22" i="2"/>
  <c r="J20" i="2"/>
  <c r="A20" i="2"/>
  <c r="I20" i="2"/>
  <c r="H20" i="2"/>
  <c r="G20" i="2"/>
  <c r="F20" i="2"/>
  <c r="E20" i="2"/>
  <c r="C20" i="2"/>
  <c r="D20" i="2"/>
  <c r="B20" i="2"/>
  <c r="J23" i="2"/>
  <c r="I23" i="2"/>
  <c r="H23" i="2"/>
  <c r="G23" i="2"/>
  <c r="F23" i="2"/>
  <c r="E23" i="2"/>
  <c r="D23" i="2"/>
  <c r="C23" i="2"/>
  <c r="B23" i="2"/>
  <c r="A23" i="2"/>
  <c r="G44" i="2" l="1"/>
  <c r="G61" i="2" s="1"/>
</calcChain>
</file>

<file path=xl/sharedStrings.xml><?xml version="1.0" encoding="utf-8"?>
<sst xmlns="http://schemas.openxmlformats.org/spreadsheetml/2006/main" count="2724" uniqueCount="880">
  <si>
    <t>Battery monitor rev-a: деталі для монтажу і закупівля із запасом</t>
  </si>
  <si>
    <t>Деталі, що паяються на плату battery-monitor-rev-a (59 шт на плату з 62 позицій BOM; J101, TP102, TP103 - площадки без деталі). ESP32-S3 і Ra-02 вже є у власника; основний магазин - IMRAD, решта (U101, U301, F501, L101, R305, U202) - VD MAIS; резистори 0603 ряду E24 можна брати і з книги власника. Аркуш «Поза платою» - що купити для монтажу в корпус (вольтметр, відповідні роз'єми, кріплення, запобіжник у проводі батареї). Ціни, наявність і мінімальні замовлення - як на сторінках магазинів 2026-10-25; перед замовленням перевірити.</t>
  </si>
  <si>
    <t>Налаштування (жовті клітинки можна змінювати)</t>
  </si>
  <si>
    <t>Кількість плат для збирання</t>
  </si>
  <si>
    <t>PCB замовляються по 5 шт. Кількості «Потрібно» і запас на брак рахуються від цього числа.</t>
  </si>
  <si>
    <t>ПДВ для цін, вказаних «без ПДВ»</t>
  </si>
  <si>
    <t>Космодром і РКС показують ціни без ПДВ; VD MAIS - з ПДВ; Prom.ua, IMRAD, Mini-Tech - як на сторінці.</t>
  </si>
  <si>
    <t>Категорія</t>
  </si>
  <si>
    <t>Запас на брак, %</t>
  </si>
  <si>
    <t>Мін. запас на брак, шт</t>
  </si>
  <si>
    <t>Навіщо</t>
  </si>
  <si>
    <t>Дрібні пасивні</t>
  </si>
  <si>
    <t>0603/0805/1206 губляться і «відлітають» під час паяння</t>
  </si>
  <si>
    <t>Мікросхеми та силові</t>
  </si>
  <si>
    <t>1 шт на випадок перегріву або неправильної орієнтації</t>
  </si>
  <si>
    <t>Роз'єми та кнопки</t>
  </si>
  <si>
    <t>1 шт на випадок пошкодження</t>
  </si>
  <si>
    <t>Модулі</t>
  </si>
  <si>
    <t>ESP32-S3 і Ra-02 вже є у власника</t>
  </si>
  <si>
    <t>Без деталі</t>
  </si>
  <si>
    <t>площадки на платі, нічого не купується</t>
  </si>
  <si>
    <t>Підсумок (рахується автоматично)</t>
  </si>
  <si>
    <t>Деталі плати (із запасом): сума відомих цін, грн</t>
  </si>
  <si>
    <t>Набори (книги): сума, грн</t>
  </si>
  <si>
    <t>Поза платою (вольтметр, роз'єми-відповідники, кріплення, запобіжник у проводі): сума, грн</t>
  </si>
  <si>
    <t>Разом, грн (без доставки і рядків без ціни)</t>
  </si>
  <si>
    <t>Рядків без ціни (AliExpress)</t>
  </si>
  <si>
    <t>Рядків до покупки «в наявності»</t>
  </si>
  <si>
    <t>Рядків до покупки «під замовлення» (строк уточнити)</t>
  </si>
  <si>
    <t>Рядків до покупки «немає» / «немає в Україні»</t>
  </si>
  <si>
    <t>Номіналів з книги резисторів, яким її не вистачає</t>
  </si>
  <si>
    <t>Як користуватися: 5 кроків</t>
  </si>
  <si>
    <t>КРОК 1. Тут, у жовтій клітинці C5, - скільки плат збираєте (зараз 5). Усі кількості перерахуються самі.</t>
  </si>
  <si>
    <t>КРОК 2. Аркуш «Набори»: книга резисторів 0603 вже є («Вже є» = 1); резистори 0603 зараз купуються в IMRAD, книга - безкоштовна альтернатива. «Купити» = 1, лише якщо потрібна ще одна.</t>
  </si>
  <si>
    <t>КРОК 3. Аркуш «Плата»: змінюйте лише жовті клітинки - «Купити щонайменше», «Вже є» (залишки після rev-c: стовпець «Деталь з rev-c»), «Джерело» і «Магазин». Зелений стовпець «ЗАМОВИТИ» - результат.</t>
  </si>
  <si>
    <t>КРОК 4. Аркуш «Поза платою»: вольтметр, корпуси і контакти XH, нейлонове кріплення H1-H4, тримач і запобіжник 2 А для проводу батареї. «Вже є» - якщо щось уже є.</t>
  </si>
  <si>
    <t>КРОК 5. Аркуш «Список покупок»: готовий перелік по магазинах. Аркуш «Кошики» - сума по кожному магазину і скільки бракує до мінімальної суми продавця Prom.ua (Filur 300, Connectors 150, DIY mag 100 грн).</t>
  </si>
  <si>
    <t>Корисно знати</t>
  </si>
  <si>
    <t>«ЗАМОВИТИ» = більше з двох: («Потрібно на всі плати» + «на брак») або «Купити щонайменше»; мінус «Вже є»; далі округлюється до мінімального замовлення і кратності магазину. «Лишиться в запасі» – що залишиться після збирання.</t>
  </si>
  <si>
    <t>«Купити щонайменше» зараз: дешеві мікросхеми, запобіжники, дросель, діоди, транзистори, роз'єми – 10 шт; світлодіоди, 220k 0.1 % - 20; 100 нФ 0603 і 10 кОм 1206 - 100; 22 мкФ 0805 - 50. Дорогі U101, U202, U301 - лише потреба + 1 шт на брак.</t>
  </si>
  <si>
    <t>«Джерело»: «магазин» - купується окремо (резистори 0603 68k, 510k, 220k, 10k, 5.1k, 22, 4.7k, 1k, 100k - упаковками по 100 шт в IMRAD; замість цього можна вибрати «книга резисторів 0603»); «є у власника» - ESP32-S3 і Ra-02 (сірі рядки); «не купується» - J101 (провід батареї), TP102/TP103.</t>
  </si>
  <si>
    <t>НЕ замінювати: R304/R305 (0.1 %, тонкоплівкові), R511 (2512 1 Вт, перевантаження 5 с) і F501 0.25 А (розраховані разом), F101 лише NANO2 0451002.MRL (футпринт NANO2), U101 лише SDDAR / SQDDARQ1 (не FDDAR), D102 лише однонаправлений SMAJ33A. Допустимі заміни описано в стовпці «Що купувати».</t>
  </si>
  <si>
    <t>Два замовлення (перевірено 2026-10-25): IMRAD - усі рядки, які він має на складі; VD MAIS - L101 SRN6045-220M, R305, U202 (власний склад, 0 тижнів) і Digi-Key через VD MAIS, 3 тижні: U101 LMR38010SQDDARQ1, F501 0466.250NRHF, 2 з 6 шт U301 - цей кошик замовляйте першим.</t>
  </si>
  <si>
    <t>U301 ADS1115: на власному складі VD MAIS лише 4 шт з потрібних 6; решту 2 шт - Digi-Key у тому ж кошику VD MAIS. Ціна в рядку - середня за 6 шт; для іншої кількості перерахуйте (резерв: IMRAD під замовлення 6-10 робочих днів).</t>
  </si>
  <si>
    <t>Дорожче, ніж у Космодромі (власний склад, резерв у рядку): Q501 (57.12 проти 9.00 грн без ПДВ) і F101 (49.95 проти 8.00): за бажанням змініть «Магазин» і ціну.</t>
  </si>
  <si>
    <t>J504: лише B2B-XH-A(LF)(SN) без бобишки (IMRAD). B2B-XH-AM (з бобишкою) у плату не стає без підрізання бобишки.</t>
  </si>
  <si>
    <t>LCSC/JLCPCB не продають в Україну; Digi-Key - через VD MAIS (catalog.vdmais.ua). AliExpress - лише пошукові посилання.</t>
  </si>
  <si>
    <t>Ціни - як на сторінках на 2026-10-25; «без ПДВ» множиться на (1 + ПДВ). Доставку не враховано. Перед замовленням перевірте наявність. Усі перевірені пропозиції - аркуш «Пропозиції».</t>
  </si>
  <si>
    <t>Джерела: KiCad BOM (02-components/battery-monitor-rev-a-bom.csv, kicad-cli 10.0.6), сторінки магазинів. Скрипти: battery-monitor-rev-a/evidence/imrad-stock-20261025/scratch/imrad-workbook/gen/ (edit_offers.py -&gt; bom_offers.py, check_links.py, make_components_ua.py, verify_components.py, recalc_excel.ps1); дані - сторінки магазинів 2026-10-25 (скрипти component-sourcing-ukraine, вивід у imrad-workbook/live/).</t>
  </si>
  <si>
    <t>Список покупок: що і скільки замовити в кожному магазині. Рахується сам з аркушів «Плата» і «Набори»: тут нічого не змінюйте.</t>
  </si>
  <si>
    <t>Купуйте магазин за магазином (рядки згруповано). Порожня ціна - AliExpress: шукайте за MPN зі стовпця «Що замовити». Перед оплатою відкрийте посилання і перевірте наявність і ціну.</t>
  </si>
  <si>
    <t>Деталі плати</t>
  </si>
  <si>
    <t>Магазин</t>
  </si>
  <si>
    <t>Позиції на платі</t>
  </si>
  <si>
    <t>Що замовити</t>
  </si>
  <si>
    <t>Кількість</t>
  </si>
  <si>
    <t>Од.</t>
  </si>
  <si>
    <t>Ціна з ПДВ, грн/од.</t>
  </si>
  <si>
    <t>Сума, грн</t>
  </si>
  <si>
    <t>Статус</t>
  </si>
  <si>
    <t>Посилання</t>
  </si>
  <si>
    <t>Примітка</t>
  </si>
  <si>
    <t>ключ</t>
  </si>
  <si>
    <t>рядок</t>
  </si>
  <si>
    <t>Деталі:</t>
  </si>
  <si>
    <t>Набори (книги)</t>
  </si>
  <si>
    <t>Набори:</t>
  </si>
  <si>
    <t>Поза платою (корпус, проводи, кріплення)</t>
  </si>
  <si>
    <t>Поза платою:</t>
  </si>
  <si>
    <t>РАЗОМ:</t>
  </si>
  <si>
    <t>Без доставки. Рядки без ціни (AliExpress) в суму не входять.</t>
  </si>
  <si>
    <t>Аркуш «Плата»: один рядок = одна група однакових деталей з KiCad BOM плати battery-monitor-rev-a. Результат - стовпець «ЗАМОВИТИ» і аркуш «Список покупок».</t>
  </si>
  <si>
    <t>Змінювати можна лише ЖОВТІ клітинки: «Купити щонайменше» - скільки взяти із запасом для інших плат; «Вже є» - що вже лежить у вас (наприклад, залишок після rev-c: стовпець «Деталь з rev-c»); «Джерело» і «Магазин» - звідки брати.</t>
  </si>
  <si>
    <t>«Потрібно на всі плати» + «на брак» → «ЗАМОВИТИ» (не менше «Купити щонайменше» і мінімального замовлення магазину) → «Лишиться в запасі». Технічні стовпці (ціна на сайті, мінімум, резерв, MPN) згорнуто: кнопка «+» над заголовками.</t>
  </si>
  <si>
    <t>ДЕТАЛЬ</t>
  </si>
  <si>
    <t>СКІЛЬКИ</t>
  </si>
  <si>
    <t>ДЕ КУПИТИ</t>
  </si>
  <si>
    <t>ДОВІДКА (згорнуто: «+» над стовпцями)</t>
  </si>
  <si>
    <t>№</t>
  </si>
  <si>
    <t>Позиції</t>
  </si>
  <si>
    <t>Номінал</t>
  </si>
  <si>
    <t>Корпус (KiCad footprint)</t>
  </si>
  <si>
    <t>Що купувати / допустима заміна</t>
  </si>
  <si>
    <t>На 1 плату</t>
  </si>
  <si>
    <t>Потрібно на всі плати</t>
  </si>
  <si>
    <t>+ на брак</t>
  </si>
  <si>
    <t>Купити щонайменше ✎</t>
  </si>
  <si>
    <t>Вже є ✎</t>
  </si>
  <si>
    <t>ЗАМОВИТИ</t>
  </si>
  <si>
    <t>Лишиться в запасі</t>
  </si>
  <si>
    <t>Джерело ✎</t>
  </si>
  <si>
    <t>Магазин ✎</t>
  </si>
  <si>
    <t>Що саме замовити</t>
  </si>
  <si>
    <t>Примітка до покупки</t>
  </si>
  <si>
    <t>Ціна на сайті, грн/од.</t>
  </si>
  <si>
    <t>Ціна вказана</t>
  </si>
  <si>
    <t>Мін. замовл.</t>
  </si>
  <si>
    <t>Кратність</t>
  </si>
  <si>
    <t>Відповідність</t>
  </si>
  <si>
    <t>Перевірено</t>
  </si>
  <si>
    <t>Резервний варіант</t>
  </si>
  <si>
    <t>Резерв: посилання</t>
  </si>
  <si>
    <t>AliExpress (пошук)</t>
  </si>
  <si>
    <t>Деталь з rev-c</t>
  </si>
  <si>
    <t>Призначення в схемі</t>
  </si>
  <si>
    <t>MPN у KiCad (виробник)</t>
  </si>
  <si>
    <t>URL (службовий)</t>
  </si>
  <si>
    <t>Ключ (службовий)</t>
  </si>
  <si>
    <t>C101</t>
  </si>
  <si>
    <t>22uF 100V</t>
  </si>
  <si>
    <t>CP_Elec_8x10</t>
  </si>
  <si>
    <t>22 мкФ 100 В, алюмінієвий SMD 8x10 мм, low-ESR (Panasonic FK або аналог того самого розміру)</t>
  </si>
  <si>
    <t>шт</t>
  </si>
  <si>
    <t>магазин</t>
  </si>
  <si>
    <t>IMRAD</t>
  </si>
  <si>
    <t>Panasonic EEEFK2A220P (точний MPN)</t>
  </si>
  <si>
    <t>в наявності</t>
  </si>
  <si>
    <t>відкрити</t>
  </si>
  <si>
    <t>IMRAD: «Є в наявності, на складі» (кількість не показано); ціна від 6 шт (1 шт: 16.13, від 15: 13.69, від 70: 12.38)</t>
  </si>
  <si>
    <t>як на сторінці</t>
  </si>
  <si>
    <t>точний MPN</t>
  </si>
  <si>
    <t>2026-10-25</t>
  </si>
  <si>
    <t>Космодром: Panasonic EEEFK2A220P (точний MPN): в наявності, 14.5 грн (без ПДВ). на складі 131 шт</t>
  </si>
  <si>
    <t>пошук</t>
  </si>
  <si>
    <t>C101: демпфування дзвону на проводах батареї (VIN_PROT)</t>
  </si>
  <si>
    <t>EEE-FK2A220P (Panasonic)</t>
  </si>
  <si>
    <t>https://imrad.com.ua/ua/eeefk2a220p-3</t>
  </si>
  <si>
    <t>C102</t>
  </si>
  <si>
    <t>10uF 100V</t>
  </si>
  <si>
    <t>C_1210_3225Metric</t>
  </si>
  <si>
    <t>10 мкФ 100 В X7S 1210, Murata GRM32EC72A106KE05L (той самий з кодом пакування KE05K; допустима заміна Samsung CL32Y106KCVZ4NE)</t>
  </si>
  <si>
    <t>Murata GRM32EC72A106KE05L (точний MPN)</t>
  </si>
  <si>
    <t>IMRAD: «Є в наявності, на складі» (кількість не показано); ціна від 5 шт (1 шт: 36.53)</t>
  </si>
  <si>
    <t>VD MAIS: Murata GRM32EC72A106KE05K (10 мкФ 100 В X7S 1210): в наявності, 44.55 грн (з ПДВ). той самий GRM32EC72A106KE05L, інший лише код пакування; на складі 60 шт</t>
  </si>
  <si>
    <t>C102: вхідний конденсатор U101 LMR38010</t>
  </si>
  <si>
    <t>GRM32EC72A106KE05L (Murata)</t>
  </si>
  <si>
    <t>https://imrad.com.ua/ua/grm32ec72a106ke05l-2</t>
  </si>
  <si>
    <t>C103</t>
  </si>
  <si>
    <t>100nF 100V</t>
  </si>
  <si>
    <t>C_0603_1608Metric</t>
  </si>
  <si>
    <t>100 нФ, 0603, X7R, &gt;= 100 В (Samsung CL10B104KC8NNNC або аналог X7R 100 В)</t>
  </si>
  <si>
    <t>Samsung CL10B104KC8NNNC (100 нФ X7R 100 В 0603, точний MPN)</t>
  </si>
  <si>
    <t>IMRAD: «Є в наявності, на складі» (кількість не показано); ціна від 100 шт (1 шт: 1.65, від 10: 1.02)</t>
  </si>
  <si>
    <t>Космодром: Samsung CL10B104KC8NNNC (точний MPN), партнерський склад: під замовлення, 2.76 грн (без ПДВ), мін. 50 шт. 4-6 тижнів, ціна від 50 шт</t>
  </si>
  <si>
    <t>C103: розв'язка VIN/GND біля U101</t>
  </si>
  <si>
    <t>CL10B104KC8NNNC (Samsung)</t>
  </si>
  <si>
    <t>https://imrad.com.ua/ua/cl10b104kc8nnnc-3</t>
  </si>
  <si>
    <t>C104, C202-C205, C301, C302, C402</t>
  </si>
  <si>
    <t>100nF</t>
  </si>
  <si>
    <t>100 нФ, 0603, X7R, &gt;= 25 В (C104 bootstrap &gt;= 16 В): Samsung CL10B104KB8NNNC (50 В)</t>
  </si>
  <si>
    <t>Samsung CL10B104KB8NNNC (100 нФ X7R 50 В 0603, точний MPN)</t>
  </si>
  <si>
    <t>IMRAD: «Є в наявності, на складі» (кількість не показано); ціна від 100 шт (1 шт: 1.65, від 10: 0.72, від 500: 0.63)</t>
  </si>
  <si>
    <t>Космодром: Samsung CL10B104KB8NNNC (точний MPN), партнерський склад: під замовлення, 1.79 грн (без ПДВ), мін. 100 шт. 4-6 тижнів, ціна від 100 шт</t>
  </si>
  <si>
    <t>C104 bootstrap U101; C202-C205 розв'язка ESP32; C301/C302 ADS1115 і RC-фільтр AIN0; C402 Ra-02</t>
  </si>
  <si>
    <t>CL10B104KB8NNNC (Samsung)</t>
  </si>
  <si>
    <t>https://imrad.com.ua/ua/cl10b104kb8nnnc-8</t>
  </si>
  <si>
    <t>C105-C107, C201</t>
  </si>
  <si>
    <t>22uF</t>
  </si>
  <si>
    <t>C_0805_2012Metric</t>
  </si>
  <si>
    <t>22 мкФ, 0805, X5R, &gt;= 25 В: Murata GRM21BR61E226ME44L (або Samsung CL21A226MAYNNNE того самого класу)</t>
  </si>
  <si>
    <t>Murata GRM21BR61E226ME44L (точний MPN)</t>
  </si>
  <si>
    <t>IMRAD: «Є в наявності, на складі» (кількість не показано); ціна від 10 шт (1 шт: 13.42, від 100: 11.21). «Купити щонайменше» 50 задано, коли ціна була 2.96 грн: потреба 5 плат = 24 шт</t>
  </si>
  <si>
    <t>Космодром: Murata GRM21BR61E226ME44L (точний MPN), партнерський склад: під замовлення, 32.83 грн (без ПДВ), мін. 5 шт. 4-6 тижнів, ціна від 5 шт</t>
  </si>
  <si>
    <t>C105-C107: вихід buck +3V3; C201: +3V3 біля ESP32</t>
  </si>
  <si>
    <t>GRM21BR61E226ME44L (Murata)</t>
  </si>
  <si>
    <t>https://imrad.com.ua/ua/grm21br61e226me44l-1</t>
  </si>
  <si>
    <t>C401</t>
  </si>
  <si>
    <t>10uF</t>
  </si>
  <si>
    <t>10 мкФ, 0805, X5R або X7R, &gt;= 10 В</t>
  </si>
  <si>
    <t>Samsung CL21A106KAYNNNE (точний MPN)</t>
  </si>
  <si>
    <t>IMRAD: «Є в наявності, на складі» (кількість не показано); ціна від 10 шт (1 шт: 3.80, від 100: 3.18)</t>
  </si>
  <si>
    <t>VD MAIS: Samsung CL21A106KAYNNNE (точний MPN): в наявності, 0.92 грн (з ПДВ), мін. 10 шт. ціна від 10 шт; на складі 1293 шт</t>
  </si>
  <si>
    <t>так</t>
  </si>
  <si>
    <t>C401: +3V3 біля Ra-02</t>
  </si>
  <si>
    <t>CL21A106KAYNNNE (Samsung)</t>
  </si>
  <si>
    <t>https://imrad.com.ua/ua/cl21a106kaynnne-3</t>
  </si>
  <si>
    <t>D101</t>
  </si>
  <si>
    <t>B1100</t>
  </si>
  <si>
    <t>D_SMA</t>
  </si>
  <si>
    <t>Шотткі 100 В 1 А, SMA: Diodes B1100-13-F (VF 0.79 В max при 1 А). НЕ ставити 60-вольтові SS1x (SS16 тощо)</t>
  </si>
  <si>
    <t>Diodes B1100-13-F (100 В, 1 А, SMA, точний MPN)</t>
  </si>
  <si>
    <t>IMRAD: «Є в наявності, на складі» (кількість не показано); ціна від 10 шт (1 шт: 6.07, від 50: 5.21)</t>
  </si>
  <si>
    <t>Космодром: Diodes B1100-13-F (точний MPN): в наявності, 3 грн (без ПДВ). на складі 1475 шт</t>
  </si>
  <si>
    <t>D101: захист від переполюсовки батареї</t>
  </si>
  <si>
    <t>B1100-13-F (Diodes Incorporated)</t>
  </si>
  <si>
    <t>https://imrad.com.ua/ua/b1100-13-f-9</t>
  </si>
  <si>
    <t>D102</t>
  </si>
  <si>
    <t>SMAJ33A</t>
  </si>
  <si>
    <t>SMAJ33A будь-якого виробника: 33 В, 400 Вт, ОДНОНАПРЯМЛЕНИЙ (не SMAJ33CA), SMA</t>
  </si>
  <si>
    <t>ST SMAJ33A-TR (однонаправлений, 33 В, 400 Вт, SMA, точний MPN)</t>
  </si>
  <si>
    <t>IMRAD: «Є в наявності, на складі» (кількість не показано); ціна від 10 шт (1 шт: 6.85, від 50: 5.87)</t>
  </si>
  <si>
    <t>Космодром: ST SMAJ33A-TR (точний MPN), партнерський склад: під замовлення, 9.52 грн (без ПДВ), мін. 5 шт. 4-6 тижнів, ціна від 5 шт (власний склад Космодрому: 0 шт, очікується)</t>
  </si>
  <si>
    <t>D102: TVS на вході VIN_PROT</t>
  </si>
  <si>
    <t>SMAJ33A-TR (STMicroelectronics)</t>
  </si>
  <si>
    <t>https://imrad.com.ua/ua/smaj33a-tr-4</t>
  </si>
  <si>
    <t>D501</t>
  </si>
  <si>
    <t>GREEN</t>
  </si>
  <si>
    <t>LED_0603_1608Metric</t>
  </si>
  <si>
    <t>Жовто-зелений світлодіод 0603, Vf близько 2.0-2.4 В (571 нм): Lite-On LTST-C191KGKT. НЕ ставити смарагдові 525 нм / 3 В</t>
  </si>
  <si>
    <t>Lite-On LTST-C191KGKT (жовто-зелений 571 нм, точний MPN)</t>
  </si>
  <si>
    <t>IMRAD: «Є в наявності, на складі» (кількість не показано); ціна від 10 шт (1 шт: 1.84, від 50: 1.56)</t>
  </si>
  <si>
    <t>Космодром: Lite-On LTST-C191KGKT (точний MPN), партнерський склад: під замовлення, 2 грн (без ПДВ), мін. 50 шт. 4-6 тижнів, ціна від 50 шт</t>
  </si>
  <si>
    <t>D501: STATUS (GPIO40)</t>
  </si>
  <si>
    <t>LTST-C191KGKT (Lite-On)</t>
  </si>
  <si>
    <t>https://imrad.com.ua/ua/ltst-c191kgkt-4</t>
  </si>
  <si>
    <t>D502</t>
  </si>
  <si>
    <t>RED</t>
  </si>
  <si>
    <t>Червоний світлодіод 0603, 630 нм, Vf близько 2 В: Kingbright KP-1608SURCK</t>
  </si>
  <si>
    <t>Kingbright KP-1608SURCK (червоний 630 нм, точний MPN)</t>
  </si>
  <si>
    <t>IMRAD: «Є в наявності, на складі» (кількість не показано); ціна від 10 шт (1 шт: 4.96, від 50: 4.21)</t>
  </si>
  <si>
    <t>Космодром: Kingbright KP-1608SURCK (точний MPN), партнерський склад: під замовлення, 11.5 грн (без ПДВ), мін. 5 шт. 4-6 тижнів, ціна від 5 шт</t>
  </si>
  <si>
    <t>D502: ALERT (GPIO41)</t>
  </si>
  <si>
    <t>KP-1608SURCK (Kingbright)</t>
  </si>
  <si>
    <t>https://imrad.com.ua/ua/kp-1608surck-3</t>
  </si>
  <si>
    <t>F101</t>
  </si>
  <si>
    <t>2A 125V</t>
  </si>
  <si>
    <t>Fuse_Littelfuse-NANO2-451_453</t>
  </si>
  <si>
    <t>Лише Littelfuse 0451002.MRL (NANO2 451, 2 А 125 В, дуже швидкий) під футпринт Fuse_Littelfuse-NANO2-451_453. 1206-запобіжники 0466 на цей футпринт не стають</t>
  </si>
  <si>
    <t>Littelfuse 0451002.MRL (NANO2, 2 А 125 В, точний MPN)</t>
  </si>
  <si>
    <t>IMRAD: «Є в наявності, на складі» (кількість не показано); ціна від 8 шт (1 шт: 57.93, від 4: 55.03, від 24: 45.86)</t>
  </si>
  <si>
    <t>Космодром: Littelfuse 0451002.MRL (точний MPN; виробник на сайті «LTL»): в наявності, 8 грн (без ПДВ). на складі 806 шт; маркування перевірити при отриманні</t>
  </si>
  <si>
    <t>F101: запобіжник входу батареї</t>
  </si>
  <si>
    <t>0451002.MRL (Littelfuse)</t>
  </si>
  <si>
    <t>https://imrad.com.ua/ua/0451002-mrl-2</t>
  </si>
  <si>
    <t>F501</t>
  </si>
  <si>
    <t>0.25A 125V</t>
  </si>
  <si>
    <t>Fuse_1206_3216Metric</t>
  </si>
  <si>
    <t>Лише Littelfuse 0466.250NRHF (0.25 А, 125 В, дуже швидкий, 1206). Інший номінал не ставити: розраховано разом з R511</t>
  </si>
  <si>
    <t>VD MAIS</t>
  </si>
  <si>
    <t>Littelfuse 0466.250NRHF (точний MPN), Digi-Key через VD MAIS</t>
  </si>
  <si>
    <t>під замовлення</t>
  </si>
  <si>
    <t>Digi-Key F5692CT-ND: 5812 шт, 3 тижні; ціна від 5 шт 59.53 грн без ПДВ (1 шт: 59.66), дані API VD MAIS; в IMRAD немає (0466.250NR - немає, 0451.250MRL - під замовлення). Замовляти разом з U101</t>
  </si>
  <si>
    <t>без ПДВ</t>
  </si>
  <si>
    <t>Космодром: Littelfuse 0466.250NRHF (точний MPN), партнерський склад: під замовлення, 8.85 грн (без ПДВ), мін. 5 шт. 4-6 тижнів, ціна від 5 шт</t>
  </si>
  <si>
    <t>F501: запобіжник виходу на вольтметр J503</t>
  </si>
  <si>
    <t>0466.250NRHF (Littelfuse)</t>
  </si>
  <si>
    <t>https://catalog.vdmais.ua/uk/parasearch/?keyword=0466.250NRHF</t>
  </si>
  <si>
    <t>J101</t>
  </si>
  <si>
    <t>BAT</t>
  </si>
  <si>
    <t>SolderWire-0.75sqmm_1x02_P4.8mm_D1.25mm_OD2.3mm</t>
  </si>
  <si>
    <t>Деталі немає: два отвори під провід 0.75 мм² (косичка XT30 від роз'єму на корпусі)</t>
  </si>
  <si>
    <t>не купується</t>
  </si>
  <si>
    <t>провід XT30 0.5-0.75 мм² (поза платою)</t>
  </si>
  <si>
    <t>J101: провід батареї (BAT+ = квадратна площадка)</t>
  </si>
  <si>
    <t>-</t>
  </si>
  <si>
    <t>J201</t>
  </si>
  <si>
    <t>USB4105-GF-A</t>
  </si>
  <si>
    <t>USB_C_Receptacle_HRO_TYPE-C-31-M-12</t>
  </si>
  <si>
    <t>GCT USB4105-GF-A на футпринті HRO TYPE-C-31-M-12 (сигнальні площадки ті самі; ніжки корпусу 0.80/1.10 мм у пазах 1.2/1.7 мм): приміряти на голій платі перед пайкою</t>
  </si>
  <si>
    <t>GCT USB4105-GF-A (точний MPN)</t>
  </si>
  <si>
    <t>IMRAD: «Є в наявності, на складі» (кількість не показано); ціна від 8 шт (1 шт: 37.65, від 4: 36.30, від 20: 33.62)</t>
  </si>
  <si>
    <t>Космодром: GCT USB4105-GF-A (точний MPN): в наявності, 44 грн (без ПДВ). на складі 726 шт</t>
  </si>
  <si>
    <t>J201 USB-C: лише дані/прошивка, плату не живить</t>
  </si>
  <si>
    <t>USB4105-GF-A (GCT)</t>
  </si>
  <si>
    <t>https://imrad.com.ua/ua/usb4105-gf-a-1</t>
  </si>
  <si>
    <t>J503</t>
  </si>
  <si>
    <t>VOLTMETER</t>
  </si>
  <si>
    <t>JST_XH_B3B-XH-A_1x03_P2.50mm_Vertical</t>
  </si>
  <si>
    <t>JST XH 3P вертикальний, крок 2.50 мм (B3B-XH-A). НЕ 2.54 мм</t>
  </si>
  <si>
    <t>JST B3B-XH-A (точний MPN)</t>
  </si>
  <si>
    <t>IMRAD: «Є в наявності, на складі» (кількість не показано); ціна від 10 шт (1 шт: 4.82, від 35: 4.20)</t>
  </si>
  <si>
    <t>VD MAIS: JST B3B-XH-A (LF)(SN) (точний MPN): в наявності, 5.81 грн (з ПДВ), мін. 10 шт. ціна від 10 шт; на складі 118 шт</t>
  </si>
  <si>
    <t>J503 вольтметр: 1 V+, 2 GND, 3 SNS</t>
  </si>
  <si>
    <t>B3B-XH-A(LF)(SN) (JST)</t>
  </si>
  <si>
    <t>https://imrad.com.ua/ua/b3b-xh-a-9</t>
  </si>
  <si>
    <t>J504</t>
  </si>
  <si>
    <t>BTN_EXT</t>
  </si>
  <si>
    <t>JST_XH_B2B-XH-A_1x02_P2.50mm_Vertical</t>
  </si>
  <si>
    <t>JST XH 2P вертикальний, крок 2.50 мм, B2B-XH-A(LF)(SN) БЕЗ бобишки. НЕ B2B-XH-AM (з бобишкою: у футпринті J504 немає отвору під неї). НЕ 2.54 мм</t>
  </si>
  <si>
    <t>JST B2B-XH-A (LF)(SN) (точний MPN)</t>
  </si>
  <si>
    <t>IMRAD: «Є в наявності, на складі» (кількість не показано); ціна від 10 шт (1 шт: 3.72, від 50: 3.05). НЕ B2B-XH-AM (з бобишкою)</t>
  </si>
  <si>
    <t>Космодром: JST B2B-XH-A(LF)(SN) (точний MPN), партнерський склад: під замовлення, 3.73 грн (без ПДВ), мін. 20 шт. 4-6 тижнів, ціна від 20 шт</t>
  </si>
  <si>
    <t>J504 зовнішня кнопка пробудження: 1 + (+3V3 через R510 1k), 2 BTN (GPIO5) (Population: Populated)</t>
  </si>
  <si>
    <t>B2B-XH-A(LF)(SN) (JST)</t>
  </si>
  <si>
    <t>https://imrad.com.ua/ua/b2b-xh-a-cwf-2-wk-02-9</t>
  </si>
  <si>
    <t>L101</t>
  </si>
  <si>
    <t>22uH</t>
  </si>
  <si>
    <t>L_Bourns_SRN6045TA</t>
  </si>
  <si>
    <t>22 мкГн, 6x6 мм під футпринт SRN6045TA, Isat &gt;= 1.6 А: Bourns SRN6045-220M (Isat 1.9 А, Irms 1.5 А, DCR 0.142 Ом max). Sumida CDRH6D38NP-220NC (1.3 А) не ставити</t>
  </si>
  <si>
    <t>Bourns SRN6045-220M (точний MPN)</t>
  </si>
  <si>
    <t>власний склад VD MAIS: 370 шт, строк 0 тижнів; в IMRAD 22 мкГн з Isat &gt;= 1.6 А немає</t>
  </si>
  <si>
    <t>з ПДВ</t>
  </si>
  <si>
    <t>Космодром: Bourns SRN6045-220M (точний MPN), партнерський склад: під замовлення, 43.37 грн (без ПДВ). 4-6 тижнів</t>
  </si>
  <si>
    <t>L101: дросель buck U101</t>
  </si>
  <si>
    <t>SRN6045-220M (Bourns)</t>
  </si>
  <si>
    <t>https://catalog.vdmais.ua/uk/product/srn6045-220m/1628266/</t>
  </si>
  <si>
    <t>Q501</t>
  </si>
  <si>
    <t>SI2309CDS</t>
  </si>
  <si>
    <t>SOT-23</t>
  </si>
  <si>
    <t>Лише Si2309CDS (P-MOSFET -60 В, SOT-23); суфікс -T1-GE3 або -T1-E3</t>
  </si>
  <si>
    <t>Vishay SI2309CDS-T1-GE3 (точний MPN)</t>
  </si>
  <si>
    <t>IMRAD: «Є в наявності, на складі» (кількість не показано); одна ціна для будь-якої кількості</t>
  </si>
  <si>
    <t>Космодром: Vishay SI2309CDS-T1-GE3 (точний MPN): в наявності, 9 грн (без ПДВ). на складі 2980 шт</t>
  </si>
  <si>
    <t>Q501: ключ живлення вольтметра (GAUGE)</t>
  </si>
  <si>
    <t>SI2309CDS-T1-GE3 (Vishay Siliconix)</t>
  </si>
  <si>
    <t>https://imrad.com.ua/ua/si2309cds-t1-ge3-3</t>
  </si>
  <si>
    <t>Q503</t>
  </si>
  <si>
    <t>MMBT5551</t>
  </si>
  <si>
    <t>MMBT5551 (NPN 160 В, SOT-23) будь-якого виробника</t>
  </si>
  <si>
    <t>onsemi MMBT5551LT1G (точний MPN)</t>
  </si>
  <si>
    <t>IMRAD: «Є в наявності, на складі» (кількість не показано); ціна від 10 шт (1 шт: 1.72, від 50: 1.54)</t>
  </si>
  <si>
    <t>Космодром: onsemi MMBT5551LT1G (точний MPN): в наявності, 1 грн (без ПДВ). на складі 804 шт</t>
  </si>
  <si>
    <t>Q503: джерело струму затвора Q501</t>
  </si>
  <si>
    <t>MMBT5551LT1G (onsemi)</t>
  </si>
  <si>
    <t>https://imrad.com.ua/ua/mmbt5551lt1g-3</t>
  </si>
  <si>
    <t>R101</t>
  </si>
  <si>
    <t>68k</t>
  </si>
  <si>
    <t>R_0603_1608Metric</t>
  </si>
  <si>
    <t>68 кОм, 0603, 1 %</t>
  </si>
  <si>
    <t>Yageo RC0603FR-0768KL (68 кОм 1 %), упаковка 100 шт</t>
  </si>
  <si>
    <t>IMRAD: «Є в наявності, на складі» (кількість не показано); 10.40 грн за 100 шт (від 5 уп.: 8.40, від 10: 7.00); ціна в рядку - за 1 шт</t>
  </si>
  <si>
    <t>Mini-Tech: книга резисторів 0603 власника (аркуш «Набори»): з набору. номінал ряду E24 є в книзі власника: якщо не купувати в IMRAD, у стовпці «Джерело» вибрати «книга резисторів 0603»</t>
  </si>
  <si>
    <t>R101: RT частоти U101 (388 кГц)</t>
  </si>
  <si>
    <t>RC0603FR-0768KL (Yageo)</t>
  </si>
  <si>
    <t>https://imrad.com.ua/ua/rc0603fr-0768kl-8</t>
  </si>
  <si>
    <t>R102</t>
  </si>
  <si>
    <t>510k</t>
  </si>
  <si>
    <t>510 кОм, 0603, 1 %</t>
  </si>
  <si>
    <t>Royal Ohm 0603SAF5103T5E (510 кОм 1 %), упаковка 100 шт</t>
  </si>
  <si>
    <t>IMRAD: «Є в наявності, на складі» (кількість не показано); 11.70 грн за 100 шт (від 5 уп.: 9.45, від 10: 7.88); ціна в рядку - за 1 шт</t>
  </si>
  <si>
    <t>R102: верхнє плече FB U101 (+3V3)</t>
  </si>
  <si>
    <t>0603SAF5103T5E (Royal Ohm)</t>
  </si>
  <si>
    <t>https://imrad.com.ua/ua/0603saf5103t5e-1</t>
  </si>
  <si>
    <t>R103</t>
  </si>
  <si>
    <t>220k</t>
  </si>
  <si>
    <t>220 кОм, 0603, 1 %</t>
  </si>
  <si>
    <t>Yageo RC0603FR-07220KL (220 кОм 1 %), упаковка 100 шт</t>
  </si>
  <si>
    <t>IMRAD: «Є в наявності, на складі» (кількість не показано); 26.20 грн за 100 шт (від 5 уп.: 25.20, від 10: 21.00); ціна в рядку - за 1 шт</t>
  </si>
  <si>
    <t>R103: нижнє плече FB U101</t>
  </si>
  <si>
    <t>RC0603FR-07220KL (Yageo)</t>
  </si>
  <si>
    <t>https://imrad.com.ua/ua/rc0603fr-07220kl-8</t>
  </si>
  <si>
    <t>R201, R202, R401, R501, R507</t>
  </si>
  <si>
    <t>10k</t>
  </si>
  <si>
    <t>10 кОм, 0603, 1 %</t>
  </si>
  <si>
    <t>Royal Ohm 0603SAF1002T5E (10 кОм 1 %), упаковка 100 шт</t>
  </si>
  <si>
    <t>IMRAD: «Є в наявності, на складі» (кількість не показано); 14.04 грн за 100 шт (від 5 уп.: 11.34, від 10: 9.45); ціна в рядку - за 1 шт</t>
  </si>
  <si>
    <t>R201 EN, R202 BOOT, R401 NSS, R501 кнопка, R507 емітер Q503</t>
  </si>
  <si>
    <t>0603SAF1002T5E (Royal Ohm)</t>
  </si>
  <si>
    <t>https://imrad.com.ua/ua/0603saf1002t5e-2</t>
  </si>
  <si>
    <t>R205, R206</t>
  </si>
  <si>
    <t>5.1k</t>
  </si>
  <si>
    <t>Лише 5.1 кОм (вимога USB-C до CC), 0603</t>
  </si>
  <si>
    <t>Yageo RC0603FR-075K1L (5.1 кОм 1 %), упаковка 100 шт</t>
  </si>
  <si>
    <t>IMRAD: «Є в наявності, на складі» (кількість не показано); 18.20 грн за 100 шт (від 5 уп.: 14.70, від 10: 12.25); ціна в рядку - за 1 шт</t>
  </si>
  <si>
    <t>R205/R206: CC1/CC2 USB-C</t>
  </si>
  <si>
    <t>RC0603FR-075K1L (Yageo)</t>
  </si>
  <si>
    <t>https://imrad.com.ua/ua/rc0603fr-075k1l-4</t>
  </si>
  <si>
    <t>R208, R209</t>
  </si>
  <si>
    <t>22</t>
  </si>
  <si>
    <t>22 Ом, 0603, 1-5 %</t>
  </si>
  <si>
    <t>Yageo RC0603FR-0722RL (22 Ом 1 %), упаковка 100 шт</t>
  </si>
  <si>
    <t>IMRAD: «Є в наявності, на складі» (кількість не показано); 20.80 грн за 100 шт (від 5 уп.: 16.80, від 10: 14.00); ціна в рядку - за 1 шт</t>
  </si>
  <si>
    <t>R208/R209: послідовні в USB D+/D-</t>
  </si>
  <si>
    <t>RC0603FR-0722RL (Yageo)</t>
  </si>
  <si>
    <t>https://imrad.com.ua/ua/rc0603fr-0722rl-9</t>
  </si>
  <si>
    <t>R304</t>
  </si>
  <si>
    <t>220k 0.1%</t>
  </si>
  <si>
    <t>R_0805_2012Metric</t>
  </si>
  <si>
    <t>Лише 220 кОм +/-0.1 %, 25 ppm/K, тонкоплівковий, 0805, робоча напруга &gt;= 100 В: Panasonic ERA-6AEB224V (150 В). 1 % не ставити</t>
  </si>
  <si>
    <t>Panasonic ERA-6AEB224V (220 кОм 0.1 % 25 ppm/K 0805, точний MPN)</t>
  </si>
  <si>
    <t>IMRAD: «Є в наявності, на складі» (кількість не показано); ціна від 10 шт (1 шт: 5.86)</t>
  </si>
  <si>
    <t>Космодром: Yageo RT0805BRD07220KL (220 кОм 0.1 % 0805), партнерський склад: під замовлення, 4.6 грн (без ПДВ), мін. 20 шт. 4-6 тижнів, мін. 20 шт</t>
  </si>
  <si>
    <t>R304: верхнє плече дільника батареї (AIN0)</t>
  </si>
  <si>
    <t>ERA-6AEB224V (Panasonic)</t>
  </si>
  <si>
    <t>https://imrad.com.ua/ua/era6aeb224v-6</t>
  </si>
  <si>
    <t>R305</t>
  </si>
  <si>
    <t>10k 0.1%</t>
  </si>
  <si>
    <t>Лише 10 кОм +/-0.1 %, 25 ppm/K, тонкоплівковий, 0603. 1 % не ставити</t>
  </si>
  <si>
    <t>Yageo RT0603BRD0710KL (точний MPN)</t>
  </si>
  <si>
    <t>власний склад VD MAIS: 50 шт, строк 0 тижнів; ціна від 10 шт. В IMRAD лише 10.2 кОм 0.1 % (змінило б коефіцієнт дільника)</t>
  </si>
  <si>
    <t>Космодром: Yageo RT0603BRD0710KL (точний MPN), партнерський склад: під замовлення, 3.06 грн (без ПДВ), мін. 20 шт. 4-6 тижнів, від 20 шт</t>
  </si>
  <si>
    <t>R305: нижнє плече дільника батареї (AIN0)</t>
  </si>
  <si>
    <t>RT0603BRD0710KL (Yageo)</t>
  </si>
  <si>
    <t>https://catalog.vdmais.ua/uk/product/rt0603brd0710kl/1697301/</t>
  </si>
  <si>
    <t>R307, R502, R503, R510</t>
  </si>
  <si>
    <t>1k</t>
  </si>
  <si>
    <t>1 кОм, 0603, 1 %</t>
  </si>
  <si>
    <t>Yageo RC0603FR-071KL (1 кОм 1 %), упаковка 100 шт</t>
  </si>
  <si>
    <t>IMRAD: «Є в наявності, на складі» (кількість не показано); 13.75 грн за 100 шт (від 5 уп.: 11.34, від 10: 9.45); ціна в рядку - за 1 шт</t>
  </si>
  <si>
    <t>R307 AIN0 послідовний; R502/R503 світлодіоди; R510 живлення кнопки</t>
  </si>
  <si>
    <t>RC0603FR-071KL (Yageo)</t>
  </si>
  <si>
    <t>https://imrad.com.ua/ua/rc0603fr-071kl-3</t>
  </si>
  <si>
    <t>R504, R505</t>
  </si>
  <si>
    <t>4.7k</t>
  </si>
  <si>
    <t>4.7 кОм, 0603, 1 %</t>
  </si>
  <si>
    <t>Royal Ohm 0603SAF4701T5E (4.7 кОм 1 %; на сайті SMD0603-4K7-1%), упаковка 100 шт</t>
  </si>
  <si>
    <t>IMRAD: «Є в наявності, на складі» (кількість не показано); 15.17 грн за 100 шт (від 5 уп.: 14.30, від 10: 13.50); ціна в рядку - за 1 шт</t>
  </si>
  <si>
    <t>R504/R505 підтяжки I2C</t>
  </si>
  <si>
    <t>0603SAF4701T5E (Royal Ohm)</t>
  </si>
  <si>
    <t>https://imrad.com.ua/ua/smd0603-4k7-1--2</t>
  </si>
  <si>
    <t>R506, R508, R509</t>
  </si>
  <si>
    <t>100k</t>
  </si>
  <si>
    <t>100 кОм, 0603, 1 %</t>
  </si>
  <si>
    <t>Yageo AC0603FR-07100KL (100 кОм 1 %), упаковка 100 шт</t>
  </si>
  <si>
    <t>IMRAD: «Є в наявності, на складі» (кількість не показано); 18.08 грн за 100 шт (від 5 уп.: 17.68, від 10: 16.90); ціна в рядку - за 1 шт</t>
  </si>
  <si>
    <t>R506 стягування бази Q503; R508 база Q503; R509 затвор-витік Q501</t>
  </si>
  <si>
    <t>AC0603FR-07100KL (Yageo)</t>
  </si>
  <si>
    <t>https://imrad.com.ua/ua/ac0603fr-07100kl-5</t>
  </si>
  <si>
    <t>R511</t>
  </si>
  <si>
    <t>4.7 2512 1W</t>
  </si>
  <si>
    <t>R_2512_6332Metric</t>
  </si>
  <si>
    <t>Лише 4.7 Ом 2512 1 Вт товстоплівковий з перевантаженням 2.5 x Ur протягом 5 с (Yageo RC2512JK-074R7L): 1206-резистори на цей футпринт не стають</t>
  </si>
  <si>
    <t>Yageo RC2512JK-074R7L (4.7 Ом 5 % 2512 1 Вт, точний MPN)</t>
  </si>
  <si>
    <t>IMRAD: «Є в наявності, на складі» (кількість не показано); ціна від 10 шт (1 шт: 1.58, від 100: 1.04)</t>
  </si>
  <si>
    <t>Космодром: Yageo RC2512JK-074R7L (точний MPN), партнерський склад: під замовлення, 7.51 грн (без ПДВ), мін. 10 шт. 4-6 тижнів, ціна від 10 шт</t>
  </si>
  <si>
    <t>R511: обмеження струму КЗ виходу на вольтметр (разом з F501)</t>
  </si>
  <si>
    <t>RC2512JK-074R7L (Yageo)</t>
  </si>
  <si>
    <t>https://imrad.com.ua/ua/rc2512jk-074r7l-2</t>
  </si>
  <si>
    <t>R512</t>
  </si>
  <si>
    <t>R_1206_3216Metric</t>
  </si>
  <si>
    <t>10 кОм, 1206, 1 %, &gt;= 0.25 Вт: Royal Ohm 1206S4F1002T5E (друге джерело Yageo RC1206FR-0710KL)</t>
  </si>
  <si>
    <t>Royal Ohm 1206S4F1002T5E (10 кОм 1 % 1206), упаковка 100 шт</t>
  </si>
  <si>
    <t>IMRAD: «Є в наявності, на складі» (кількість не показано); 28.08 грн за 100 шт (від 5 уп.: 22.68, від 10: 18.90); ціна в рядку - за 1 шт</t>
  </si>
  <si>
    <t>Космодром: Yageo 10 кОм 1 % 1206 0.25 Вт: в наявності, 0.69 грн (без ПДВ), мін. 100 шт. ціна від 100 шт</t>
  </si>
  <si>
    <t>R512: лінія SENSE вольтметра від VBAT_FUSED</t>
  </si>
  <si>
    <t>1206S4F1002T5E (Royal Ohm)</t>
  </si>
  <si>
    <t>https://imrad.com.ua/ua/1206s4f1002t5e-3</t>
  </si>
  <si>
    <t>TP102, TP103</t>
  </si>
  <si>
    <t>+3V3 / GND</t>
  </si>
  <si>
    <t>TestPoint_Pad_D1.5mm</t>
  </si>
  <si>
    <t>Деталі немає: контрольні площадки 1.5 мм на платі</t>
  </si>
  <si>
    <t>площадки на платі</t>
  </si>
  <si>
    <t>TP102 +3V3, TP103 GND</t>
  </si>
  <si>
    <t>U101</t>
  </si>
  <si>
    <t>LMR38010SDDAR</t>
  </si>
  <si>
    <t>TI_SO-PowerPAD-8</t>
  </si>
  <si>
    <t>LMR38010 у PFM-варіанті: LMR38010SQDDARQ1 (AEC-Q100 версія того самого кристала, той самий корпус) або LMR38010SDDAR. FDDAR / FSDDAR (примусовий PWM) НЕ купувати</t>
  </si>
  <si>
    <t>TI LMR38010SQDDARQ1 (Q1-версія LMR38010SDDAR), Digi-Key через VD MAIS</t>
  </si>
  <si>
    <t>Digi-Key 296-LMR38010SQDDARQ1CT-ND: 2220 шт, 3 тижні; 251.82 грн без ПДВ (від 10: 225.26), дані API VD MAIS. В IMRAD немає. Замовляти зараз разом з F501 і U301</t>
  </si>
  <si>
    <t>еквівалент</t>
  </si>
  <si>
    <t>Космодром: TI LMR38010SDDAR (точний MPN KiCad), партнерський склад: під замовлення, 84.59 грн (без ПДВ). 4-6 тижнів</t>
  </si>
  <si>
    <t>U101: buck 6-31 В -&gt; +3V3</t>
  </si>
  <si>
    <t>LMR38010SDDAR (Texas Instruments)</t>
  </si>
  <si>
    <t>https://catalog.vdmais.ua/uk/parasearch/?keyword=LMR38010SQDDARQ1</t>
  </si>
  <si>
    <t>U201</t>
  </si>
  <si>
    <t>ESP32-S3-WROOM-1-N16R8</t>
  </si>
  <si>
    <t>ESP32-S3-WROOM-1</t>
  </si>
  <si>
    <t>ESP32-S3-WROOM-1-N16R8 (або -N16 / -N8, той самий футпринт). Перед пайкою: маркування, MSL3 – просушити</t>
  </si>
  <si>
    <t>є у власника</t>
  </si>
  <si>
    <t>вже куплено</t>
  </si>
  <si>
    <t>якщо знадобиться ще – резервний варіант</t>
  </si>
  <si>
    <t>IMRAD: Espressif ESP32-S3-WROOM-1-N16R8 (точний MPN): в наявності, 480.56 грн (як на сторінці). IMRAD: «Є в наявності, на складі» (кількість не показано); якщо знадобиться ще; 1 шт: 480.56, від 2: 451.73, від 4: 432.51</t>
  </si>
  <si>
    <t>U201: мікроконтролер</t>
  </si>
  <si>
    <t>ESP32-S3-WROOM-1-N16R8 (or -N16 / -N8, same footprint) (Espressif)</t>
  </si>
  <si>
    <t>U202</t>
  </si>
  <si>
    <t>TPS3808G33DBVR</t>
  </si>
  <si>
    <t>SOT-23-6</t>
  </si>
  <si>
    <t>Лише TPS3808G33DBVR. MAX809T (IMRAD) потребує зміни кола скидання: лише rev-b. Може лишитися з rev-c (див. «Вже є»)</t>
  </si>
  <si>
    <t>TI TPS3808G33DBVR (точний MPN)</t>
  </si>
  <si>
    <t>власний склад VD MAIS: 227 шт, строк 0 тижнів</t>
  </si>
  <si>
    <t>IMRAD: TI TPS3808G33DBVR (точний MPN): під замовлення, 109.23 грн (як на сторінці). 6-10 робочих днів; від 14 шт: 66.35</t>
  </si>
  <si>
    <t>U202: супервізор живлення на EN</t>
  </si>
  <si>
    <t>TPS3808G33DBVR (Texas Instruments)</t>
  </si>
  <si>
    <t>https://catalog.vdmais.ua/uk/product/tps3808g33dbvr/1716171/</t>
  </si>
  <si>
    <t>U203</t>
  </si>
  <si>
    <t>USBLC6-2SC6</t>
  </si>
  <si>
    <t>Лише ST USBLC6-2SC6 (клони UMW/TECH PUBLIC мають іншу напругу обмеження). Може лишитися з rev-c</t>
  </si>
  <si>
    <t>ST USBLC6-2SC6 (точний MPN)</t>
  </si>
  <si>
    <t>IMRAD: «Є в наявності, на складі» (кількість не показано); ціна від 10 шт (1 шт: 11.50, від 35: 10.38)</t>
  </si>
  <si>
    <t>Космодром: ST USBLC6-2SC6 (точний MPN): в наявності, 7.5 грн (без ПДВ). на складі 61 шт</t>
  </si>
  <si>
    <t>U203: ESD-захист USB</t>
  </si>
  <si>
    <t>USBLC6-2SC6 (STMicroelectronics)</t>
  </si>
  <si>
    <t>https://imrad.com.ua/ua/usblc6-2sc6-4</t>
  </si>
  <si>
    <t>U301</t>
  </si>
  <si>
    <t>ADS1115IDGSR</t>
  </si>
  <si>
    <t>TSSOP-10_3x3mm_P0.5mm</t>
  </si>
  <si>
    <t>Лише ADS1115IDGSR (VSSOP-10). Модулі-плати ADS1115 не підходять</t>
  </si>
  <si>
    <t>TI ADS1115IDGSR: 4 шт власний склад VD MAIS + 2 шт Digi-Key через VD MAIS</t>
  </si>
  <si>
    <t>власний склад: 4 шт по 198.23 грн, строк 0 тижнів; решта 2 шт - Digi-Key 296-38849-1-ND (34304 шт, 3 тижні, 374.63 грн без ПДВ = 449.56 з ПДВ) у тому ж кошику VD MAIS. Ціна в рядку - середня для 6 шт ((4 x 198.23 + 2 x 449.56) / 6 = 282.01); для іншої кількості перерахувати</t>
  </si>
  <si>
    <t>IMRAD: TI ADS1115IDGSR (точний MPN): під замовлення, 217.65 грн (як на сторінці), мін. 5 шт. 6-10 робочих днів; від 5 шт (1 шт: 346.29, від 10: 205.51)</t>
  </si>
  <si>
    <t>U301: 16-бітний АЦП напруги батареї, I2C 0x48</t>
  </si>
  <si>
    <t>ADS1115IDGSR (Texas Instruments)</t>
  </si>
  <si>
    <t>https://catalog.vdmais.ua/uk/product/ads1115idgsr/1745986/</t>
  </si>
  <si>
    <t>U401</t>
  </si>
  <si>
    <t>Ra-02</t>
  </si>
  <si>
    <t>Ra02_Source</t>
  </si>
  <si>
    <t>Ai-Thinker Ra-02, 433 МГц, з роз'ємом IPEX (не Ra-01, не 868/915 МГц)</t>
  </si>
  <si>
    <t>Prom.ua - продавець Ra-02: Ai-Thinker Ra-02 SX1278 433 МГц: в наявності, 230 грн (як на сторінці). ціна 230 грн у заголовку сторінки (2026-10-25); діапазон 433 МГц і роз'єм IPEX перевірити на фото перед покупкою</t>
  </si>
  <si>
    <t>U401: LoRa (FSPI); не вмикати передачу без антени (Population: fitted (owner Q3))</t>
  </si>
  <si>
    <t>Ra-02 (Ai-Thinker)</t>
  </si>
  <si>
    <t>РАЗОМ</t>
  </si>
  <si>
    <t>деталей на 1 плату:</t>
  </si>
  <si>
    <t>Сума:</t>
  </si>
  <si>
    <t>Без ціни:</t>
  </si>
  <si>
    <t>Аркуш «Набори»: книга SMD резисторів 0603 (ряд E24) власника - безкоштовна альтернатива 9 номіналам 0603, які з 2026-10-25 куплено в IMRAD (щоб брати з книги: «Джерело» = «книга резисторів 0603» на аркуші «Плата»).</t>
  </si>
  <si>
    <t>«Вже є» = 1: книга вже є у власника (куплена для rev-c). «Купити» = 1, якщо потрібна ще одна (наприклад, книги не вистачає: на аркуші «Плата» статус «набору мало - докупити»).</t>
  </si>
  <si>
    <t>Якщо книги немає (обидва 0), рядки з джерелом «книга резисторів 0603» стануть червоними: тоді змініть їм «Джерело» на «магазин» і вкажіть магазин.</t>
  </si>
  <si>
    <t>Набір</t>
  </si>
  <si>
    <t>Що дає для цієї плати / навіщо</t>
  </si>
  <si>
    <t>Купити ✎</t>
  </si>
  <si>
    <t>Шт кожного номіналу</t>
  </si>
  <si>
    <t>Ціна, грн</t>
  </si>
  <si>
    <t>Ціна з ПДВ, грн</t>
  </si>
  <si>
    <t>N1</t>
  </si>
  <si>
    <t>Книга SMD резисторів 0603: 170 номіналів x 50 шт, 1 %, 0R-10M (ряд E24)</t>
  </si>
  <si>
    <t>Є у власника (куплена для rev-c). Безкоштовна альтернатива рядкам 0603 E24 (68k, 510k, 220k, 10k, 5.1k, 22, 4.7k, 1k, 100k), які з 2026-10-25 куплено в IMRAD: щоб брати з книги, у стовпці «Джерело» на аркуші «Плата» вибрати «книга резисторів 0603». НЕ містить прецизійні 0.1 % (вони на аркуші «Плата» з магазину). 1 = купити ще одну</t>
  </si>
  <si>
    <t>Mini-Tech</t>
  </si>
  <si>
    <t>170 номіналів 0R-10M = ряд E24 (висновок з кількості)</t>
  </si>
  <si>
    <t>https://www.mini-tech.com.ua/ua/nabor-smd-rezistorov-0603-170</t>
  </si>
  <si>
    <t>Аркуш «Поза платою»: що ще купити для монтажу плати в корпус. Цих деталей немає в KiCad BOM (не паяються на плату).</t>
  </si>
  <si>
    <t>Кількість = «На 1 плату» × кількість плат (Інструкція!C5) + «Запас»; жовті клітинки можна змінювати («Вже є» - якщо щось уже лежить у вас). Сума потрапляє в «Кошики», «Список покупок» і підсумок на «Інструкції».</t>
  </si>
  <si>
    <t>Запобіжник у проводі «+» батареї (тримач + 2 А) - обов'язковий захист проводу (C-01): F101 на платі розриває лише до 50 А. Кріплення H1-H4 - лише пластикове (нейлон), шайби не більше 7 мм.</t>
  </si>
  <si>
    <t>Для чого</t>
  </si>
  <si>
    <t>Що купити</t>
  </si>
  <si>
    <t>Вимоги / допустима заміна</t>
  </si>
  <si>
    <t>Запас, шт ✎</t>
  </si>
  <si>
    <t>П1</t>
  </si>
  <si>
    <t>J503 (кабель модуля в корпусі)</t>
  </si>
  <si>
    <t>Модуль LED-вольтметра 0.28", 3 дроти, DC 0-100 В</t>
  </si>
  <si>
    <t>3-провідний 0.28" вольтметр 0-100 В: червоний - живлення (J503.1 V+), чорний - GND (J503.2), жовтий - вимір (J503.3 SNS)</t>
  </si>
  <si>
    <t>Prom.ua - DIY mag</t>
  </si>
  <si>
    <t>Панельний LED вольтметр 0.28" 0-100V DC, 3-провідний</t>
  </si>
  <si>
    <t>сторінка: живлення DC 4-30 В («перевищення може пошкодити»), споживання &lt; 30 мА, колір індикатора випадковий; у 24 В системі під час вирівнюючого заряду (до 31 В) живлення на межі: перевірити на стенді (B6/B7)</t>
  </si>
  <si>
    <t>Prom.ua - RADIOFORMAT: Вольтметр цифровий DC 0-100 В, 0.28", червоний, трипровідний: в наявності, 49 грн (як на сторінці). діапазон живлення на сторінці не перевірено</t>
  </si>
  <si>
    <t>https://prom.ua/ua/p2882297154-panelnyj-led-voltmetr.html</t>
  </si>
  <si>
    <t>П2</t>
  </si>
  <si>
    <t>J503 B3B-XH-A</t>
  </si>
  <si>
    <t>Корпус роз'єму JST XHP-3 (відповідь до J503)</t>
  </si>
  <si>
    <t>JST XHP-3, крок 2.50 мм; контакти SXH-001T-P0.6 окремо</t>
  </si>
  <si>
    <t>JST XHP-3</t>
  </si>
  <si>
    <t>в наявності (кількість не показано)</t>
  </si>
  <si>
    <t>https://imrad.com.ua/ua/xhp-3-3</t>
  </si>
  <si>
    <t>П3</t>
  </si>
  <si>
    <t>J504 B2B-XH-A</t>
  </si>
  <si>
    <t>Корпус роз'єму JST XHP-2 (відповідь до J504)</t>
  </si>
  <si>
    <t>JST XHP-2, крок 2.50 мм; контакти SXH-001T-P0.6 окремо</t>
  </si>
  <si>
    <t>JST XHP-2</t>
  </si>
  <si>
    <t>https://imrad.com.ua/ua/xhp-2-3</t>
  </si>
  <si>
    <t>П4</t>
  </si>
  <si>
    <t>XHP-3 (3 шт) + XHP-2 (2 шт)</t>
  </si>
  <si>
    <t>Контакт обтискний JST SXH-001T-P0.6 (22-28 AWG)</t>
  </si>
  <si>
    <t>JST SXH-001T-P0.6 для XHP, провід 22-28 AWG (0.08-0.34 мм²); обтискач під JST XH</t>
  </si>
  <si>
    <t>Космодром</t>
  </si>
  <si>
    <t>JST SXH-001T-P0.6 (точний MPN)</t>
  </si>
  <si>
    <t>на складі 2499 шт</t>
  </si>
  <si>
    <t>РКС Компоненти: JST SXH-001T-P0.6 (для XHP): в наявності, 2 грн (без ПДВ), мін. 10 шт. у наявності лише 1 шт (Харків), потрібно 30; 10+ по 2.00, 100+ по 1.20 грн без ПДВ</t>
  </si>
  <si>
    <t>https://kosmodrom.ua/roz-39-yem-ns25-2-54-mm/sxh-001t-p0-6-2.html</t>
  </si>
  <si>
    <t>П5</t>
  </si>
  <si>
    <t>H1-H4 (отвори 3.2 мм)</t>
  </si>
  <si>
    <t>Стійка нейлонова M3, внутрішня-внутрішня різьба, 10 мм</t>
  </si>
  <si>
    <t>Нейлонова стійка M3 F-F (Nylon 66), шестигранник 5.5 мм; висоту підібрати під корпус</t>
  </si>
  <si>
    <t>PLFF-M3-10 (Nylon 66, M3, 10 мм, F-F)</t>
  </si>
  <si>
    <t>на складі 40597 шт; матеріал Nylon 66 94V-2</t>
  </si>
  <si>
    <t>РКС Компоненти: KLS8-0214-M3-10 (нейлонова M3/M3, 10 мм, внутрішня/зовнішня різьба): під замовлення, 4 грн (без ПДВ), мін. 5 шт. очікується 15000 шт, під замовлення 150 шт, 7-21 день; тоді гвинтів 4 шт на плату + гайка або різьба в корпусі</t>
  </si>
  <si>
    <t>https://kosmodrom.ua/mizhplatni-stiyki-plastikovi/plff-m3-10.html</t>
  </si>
  <si>
    <t>П6</t>
  </si>
  <si>
    <t>H1-H4: плата - стійка (4) і стійка - корпус (4)</t>
  </si>
  <si>
    <t>Гвинт пластиковий M3x6, напівкругла головка 5.5 мм</t>
  </si>
  <si>
    <t>Пластиковий (нейлоновий) гвинт M3x6, головка до 5.5 мм</t>
  </si>
  <si>
    <t>РКС Компоненти</t>
  </si>
  <si>
    <t>KLS8-0318-PF-M3-06 (пластиковий M3x6, головка 5.5 мм)</t>
  </si>
  <si>
    <t>у наявності 103 шт (Львів 98, Харків 5), очікується 20000 шт (дату не показано); 10+ по 2.00, 14+ по 1.50 грн без ПДВ</t>
  </si>
  <si>
    <t>Космодром: Гвинт пластиковий, полукругла головка під крест M3*6 (упаковка 100 шт): в наявності, 1.86 грн (без ПДВ), мін. 100 шт. 186 грн за упаковку 100 шт (ціна тут за 1 шт); на складі 10 уп.</t>
  </si>
  <si>
    <t>https://www.rcscomponents.kiev.ua/product/hvynt-m3-plastykovyi-kls8-0318-pf-m3-06-head-type-a_158561.html</t>
  </si>
  <si>
    <t>П7</t>
  </si>
  <si>
    <t>H1-H4 під головку гвинта; обов'язково біля H3 (F101.2 за 4.45 мм)</t>
  </si>
  <si>
    <t>Шайба пластикова M3, зовн. 6 мм, 1.5 мм</t>
  </si>
  <si>
    <t>Пластикова шайба M3, зовнішній діаметр &lt;= 7 мм (не DIN 9021)</t>
  </si>
  <si>
    <t>KangYang WS3-1.5 (пластик, 6 x 3.1 x 1.5 мм)</t>
  </si>
  <si>
    <t>у наявності 3323 шт; 14+ по 1.50, 17+ по 1.20 грн без ПДВ</t>
  </si>
  <si>
    <t>Космодром: Plastic Nylon Flat Washer M3x7x1mm White: в наявності, 1.4 грн (без ПДВ), мін. 100 шт. 3800 шт, від 100 шт</t>
  </si>
  <si>
    <t>https://www.rcscomponents.kiev.ua/product/shaiba-ws3-1-5_198596.html</t>
  </si>
  <si>
    <t>П8</t>
  </si>
  <si>
    <t>провід батареї «+», не далі 0.2 м від затискача (C-01)</t>
  </si>
  <si>
    <t>Тримач автомобільного запобіжника MINI (ATM) з кабелем</t>
  </si>
  <si>
    <t>Тримач у розрив проводу «+» батареї, під запобіжник MINI 11 мм; переріз проводу тримача не менший за провід батареї (0.5-0.75 мм²)</t>
  </si>
  <si>
    <t>Prom.ua - Connectors</t>
  </si>
  <si>
    <t>Тримач автомобільного запобіжника міні з кабелем (вологозахисний, з кришкою)</t>
  </si>
  <si>
    <t>замовлення у продавця від 150 грн; переріз проводу на сторінці не вказано: перевірити</t>
  </si>
  <si>
    <t>Prom.ua - RadioShopUA: Тримач запобіжника mini П-образного з кабелем: в наявності, 36 грн (як на сторінці). замовлення у продавця від 100 грн; переріз проводу не вказано</t>
  </si>
  <si>
    <t>https://prom.ua/ua/p2254860639-derzhatel-avtomobilnogo-predohranitelya.html</t>
  </si>
  <si>
    <t>П9</t>
  </si>
  <si>
    <t>у тримач на проводі «+» батареї (C-01); F101 на платі - лише вторинний захист</t>
  </si>
  <si>
    <t>Запобіжник автомобільний MINI 2 А, 32 В DC</t>
  </si>
  <si>
    <t>MINI (ATM) 2 А, &gt;= 32 В DC (система 24 В: до 31 В). Для варіанта 48 В - запобіжник &gt;= 80 В DC</t>
  </si>
  <si>
    <t>MTA MINIVAL 2A (AMFM-2A)</t>
  </si>
  <si>
    <t>у наявності 57 шт (Львів); 2+ по 10.00, 10+ по 5.00 грн без ПДВ; 32 В DC - з опису іншої пропозиції того самого MINIVAL 2A MTA на цій сторінці (у картці складу напруги немає): перевірити маркування</t>
  </si>
  <si>
    <t>Prom.ua - Doodah: Yiyue FN Mini 2A 32V, 10 шт: в наявності, 54 грн (як на сторінці). 54 грн за 10 шт; замовлення у продавця від 200 грн</t>
  </si>
  <si>
    <t>https://www.rcscomponents.kiev.ua/product/zapobizhnyk-avtomobilnyi-minival-2a-amfm-2a_168879.html</t>
  </si>
  <si>
    <t>Рядків (плата)</t>
  </si>
  <si>
    <t>Рядків (набори)</t>
  </si>
  <si>
    <t>Рядків (поза платою)</t>
  </si>
  <si>
    <t>Мін. сума продавця, грн</t>
  </si>
  <si>
    <t>Не вистачає до мінімуму, грн</t>
  </si>
  <si>
    <t>Як купувати</t>
  </si>
  <si>
    <t>imrad.com.ua, Київ. Основний магазин цієї плати. Ціна як на сторінці (резистори 0603/1206 - за 100 шт).</t>
  </si>
  <si>
    <t>catalog.vdmais.ua: каталог VD MAIS (партнер Digi-Key в Україні); ціни з ПДВ; оплата карткою для фізосіб.</t>
  </si>
  <si>
    <t>kosmodrom.ua, Харків. Ціни на сайті без ПДВ; доставка Новою поштою. «4 - 6 тижнів» = партнерський склад, під замовлення.</t>
  </si>
  <si>
    <t>rcscomponents.kiev.ua (Радіомаг). Ціни без ПДВ; у кожної позиції свій мінімум, шт.</t>
  </si>
  <si>
    <t>Prom.ua - Filur Electric</t>
  </si>
  <si>
    <t>filur.prom.ua; мінімальна сума замовлення на сайті 300 грн.</t>
  </si>
  <si>
    <t>prom.ua, продавець DIY mag; замовлення у продавця від 100 грн (вольтметр, аркуш «Поза платою»).</t>
  </si>
  <si>
    <t>prom.ua, продавець Connectors; замовлення у продавця від 150 грн (тримач запобіжника, аркуш «Поза платою»).</t>
  </si>
  <si>
    <t>mini-tech.com.ua, Київ: книги SMD резисторів (аркуш «Набори»).</t>
  </si>
  <si>
    <t>AliExpress</t>
  </si>
  <si>
    <t>Лише пошукові посилання (сторінки товарів не перевіряються автоматично). Звіряти номінал, корпус і MPN з рядком.</t>
  </si>
  <si>
    <t>Що саме купувати в кожному магазині - аркуш «Список покупок». Доставку і комісії не враховано; рядки без ціни (AliExpress) в суму не входять.</t>
  </si>
  <si>
    <t>Рядок «Плата»</t>
  </si>
  <si>
    <t>Потрібна деталь</t>
  </si>
  <si>
    <t>Роль</t>
  </si>
  <si>
    <t>Пропозиція</t>
  </si>
  <si>
    <t>Статус (оцінка)</t>
  </si>
  <si>
    <t>Наявність (як на сторінці)</t>
  </si>
  <si>
    <t>Ціна (як на сторінці)</t>
  </si>
  <si>
    <t>Заголовок сторінки</t>
  </si>
  <si>
    <t>HTTP</t>
  </si>
  <si>
    <t>Деталь названа на сторінці</t>
  </si>
  <si>
    <t>обрано</t>
  </si>
  <si>
    <t>В наявності</t>
  </si>
  <si>
    <t>1 16,13 грн/шт 14,82 грн/шт - від 6 13,69 грн/шт - від 15 12,38 грн/шт - від 70</t>
  </si>
  <si>
    <t>ᐉ Конденсатор електролітичний Panasonic EEEFK2A220P купити в Києві • IMRAD - український інтернет-магазин радіодеталей</t>
  </si>
  <si>
    <t>резерв</t>
  </si>
  <si>
    <t>Є НА СКЛАДІ, МОЖНА КУПИТИ; на складі 131 шт (склад)</t>
  </si>
  <si>
    <t>1+: 14.50 грн без ПДВ; 35+: 14.12 грн без ПДВ; 147+: 13.58 грн без ПДВ</t>
  </si>
  <si>
    <t>Купити EEEFK2A220P Конденсатор електролітичний на складі КОСМОДРОМ, Харків, Україна</t>
  </si>
  <si>
    <t>пошукова сторінка</t>
  </si>
  <si>
    <t>пошукова сторінка (товари не перевіряються)</t>
  </si>
  <si>
    <t>EEE FK2A220P 22uF 100V SMD - Buy EEE FK2A220P 22uF 100V SMD with free shipping on AliExpress</t>
  </si>
  <si>
    <t>1 36,53 грн/шт 32,06 грн/шт - від 5</t>
  </si>
  <si>
    <t>ᐉ Конденсатор керамічний MURATA GRM32EC72A106KE05L купити в Києві • IMRAD - український інтернет-магазин радіодеталей</t>
  </si>
  <si>
    <t>Murata GRM32EC72A106KE05K (10 мкФ 100 В X7S 1210)</t>
  </si>
  <si>
    <t>Є на складі 60 шт Строк 0 тижн. Всього доступно 60 шт</t>
  </si>
  <si>
    <t>від 1 44.55 грн від 100 41.02 грн від 200 38.78 грн</t>
  </si>
  <si>
    <t>C1210 10mkF 10% 100V X7R - Замовити на VD MAIS</t>
  </si>
  <si>
    <t>10uF 100V 1210 X7S capacitor - Buy 10uF 100V 1210 X7S capacitor with free shipping on AliExpress</t>
  </si>
  <si>
    <t>1 1,65 грн/шт 1,02 грн/шт - від 10 0,94 грн/шт - від 100</t>
  </si>
  <si>
    <t>ᐉ Конденсатор керамічний SAMSUNG CL10B104KC8NNNC купити в Києві • IMRAD - український інтернет-магазин радіодеталей</t>
  </si>
  <si>
    <t>Samsung CL10B104KC8NNNC (точний MPN), партнерський склад</t>
  </si>
  <si>
    <t>4 - 6 тижнів (Samsung Electro-Mechanics)</t>
  </si>
  <si>
    <t>50+: 2.76 грн без ПДВ</t>
  </si>
  <si>
    <t>Результаты пошуку за запитом CL10B104KC8NNNC Космодром</t>
  </si>
  <si>
    <t>100nF 100V 0603 X7R capacitor - Buy 100nF 100V 0603 X7R capacitor with free shipping on AliExpress</t>
  </si>
  <si>
    <t>1 1,65 грн/шт 0,72 грн/шт - від 10 0,67 грн/шт - від 100 0,63 грн/шт - від 500</t>
  </si>
  <si>
    <t>ᐉ Конденсатор керамічний SAMSUNG CL10B104KB8NNNC купити в Києві • IMRAD - український інтернет-магазин радіодеталей</t>
  </si>
  <si>
    <t>Samsung CL10B104KB8NNNC (точний MPN), партнерський склад</t>
  </si>
  <si>
    <t>100+: 1.79 грн без ПДВ</t>
  </si>
  <si>
    <t>Результаты пошуку за запитом CL10B104KB8NNNC Космодром</t>
  </si>
  <si>
    <t>100nF 0603 X7R 50V capacitor - Buy 100nF 0603 X7R 50V capacitor with free shipping on AliExpress</t>
  </si>
  <si>
    <t>1 13,42 грн/шт 12,04 грн/шт - від 10 11,21 грн/шт - від 100</t>
  </si>
  <si>
    <t>ᐉ Конденсатор керамічний MURATA GRM21BR61E226ME44L купити в Києві • IMRAD - український інтернет-магазин радіодеталей</t>
  </si>
  <si>
    <t>Murata GRM21BR61E226ME44L (точний MPN), партнерський склад</t>
  </si>
  <si>
    <t>4 - 6 тижнів (muRata)</t>
  </si>
  <si>
    <t>5+: 32.83 грн без ПДВ</t>
  </si>
  <si>
    <t>Результаты пошуку за запитом GRM21BR61E226ME44L Космодром</t>
  </si>
  <si>
    <t>22uF 25V 0805 X5R capacitor - Buy 22uF 25V 0805 X5R capacitor with free shipping on AliExpress</t>
  </si>
  <si>
    <t>1 3,80 грн/шт 3,41 грн/шт - від 10 3,18 грн/шт - від 100 2,98 грн/шт - від 500</t>
  </si>
  <si>
    <t>ᐉ Конденсатор керамічний SAMSUNG CL21A106KAYNNNE купити в Києві • IMRAD - український інтернет-магазин радіодеталей</t>
  </si>
  <si>
    <t>Є на складі 1293 шт Строк 0 тижн. Всього доступно 1293 шт</t>
  </si>
  <si>
    <t>від 10 0.92 грн від 100 0.85 грн від 1000 0.81 грн</t>
  </si>
  <si>
    <t>C0805 10mkF 10% 25V X5R - Замовити на VD MAIS</t>
  </si>
  <si>
    <t>10uF 25V 0805 X5R capacitor - Buy 10uF 25V 0805 X5R capacitor with free shipping on AliExpress</t>
  </si>
  <si>
    <t>1 6,07 грн/шт 5,55 грн/шт - від 10 5,21 грн/шт - від 50 4,93 грн/шт - від 80</t>
  </si>
  <si>
    <t>ᐉ Діод Шоттки DIODES INCORPORATED B1100-13-F купити в Києві • IMRAD - український інтернет-магазин радіодеталей</t>
  </si>
  <si>
    <t>Diodes B1100-13-F (точний MPN)</t>
  </si>
  <si>
    <t>Є НА СКЛАДІ, МОЖНА КУПИТИ; на складі 1475 шт (склад)</t>
  </si>
  <si>
    <t>1+: 3.00 грн без ПДВ; 216+: 2.31 грн без ПДВ; 958+: 2.09 грн без ПДВ</t>
  </si>
  <si>
    <t>Купити B1100-13-F Діод Шотткі на складі КОСМОДРОМ, Харків, Україна</t>
  </si>
  <si>
    <t>B1100 13 F SMA schottky 100V 1A - Buy B1100 13 F SMA schottky 100V 1A with free shipping on AliExpress</t>
  </si>
  <si>
    <t>1 6,85 грн/шт 6,26 грн/шт - від 10 5,87 грн/шт - від 50 5,56 грн/шт - від 80</t>
  </si>
  <si>
    <t>ᐉ Захисний діод ST MICROELECTRONICS SMAJ33A-TR купити в Києві • IMRAD - український інтернет-магазин радіодеталей</t>
  </si>
  <si>
    <t>ST SMAJ33A-TR (точний MPN), партнерський склад</t>
  </si>
  <si>
    <t>тимчасово немає на складі, очікується (ST) | 4 - 6 тижнів (ST)</t>
  </si>
  <si>
    <t>1+: 4.00 грн без ПДВ | 5+: 9.52 грн без ПДВ</t>
  </si>
  <si>
    <t>Результаты пошуку за запитом SMAJ33A-TR Космодром</t>
  </si>
  <si>
    <t>SMAJ33A TVS diode SMA unidirectional - Buy SMAJ33A TVS diode SMA unidirectional with free shipping on AliExpress</t>
  </si>
  <si>
    <t>1 1,84 грн/шт 1,74 грн/шт - від 10 1,56 грн/шт - від 50 1,34 грн/шт - від 100</t>
  </si>
  <si>
    <t>ᐉ Світлодіоди SMD LITEON LTST-C191KGKT купити в Києві • IMRAD - український інтернет-магазин радіодеталей</t>
  </si>
  <si>
    <t>Lite-On LTST-C191KGKT (точний MPN), партнерський склад</t>
  </si>
  <si>
    <t>4 - 6 тижнів (LITEON)</t>
  </si>
  <si>
    <t>50+: 2.00 грн без ПДВ</t>
  </si>
  <si>
    <t>Результаты пошуку за запитом LTST-C191KGKT Космодром</t>
  </si>
  <si>
    <t>LTST C191KGKT 0603 LED - Buy LTST C191KGKT 0603 LED with free shipping on AliExpress</t>
  </si>
  <si>
    <t>1 4,96 грн/шт 4,69 грн/шт - від 10 4,21 грн/шт - від 50 3,61 грн/шт - від 100</t>
  </si>
  <si>
    <t>ᐉ Світлодіоди SMD KINGBRIGHT ELECTRONIC KP-1608SURCK купити в Києві • IMRAD - український інтернет-магазин радіодеталей</t>
  </si>
  <si>
    <t>Kingbright KP-1608SURCK (точний MPN), партнерський склад</t>
  </si>
  <si>
    <t>4 - 6 тижнів (Kingbright)</t>
  </si>
  <si>
    <t>5+: 11.50 грн без ПДВ</t>
  </si>
  <si>
    <t>Результаты пошуку за запитом KP-1608SURCK Космодром</t>
  </si>
  <si>
    <t>KP 1608SURCK 0603 red LED - Buy KP 1608SURCK 0603 red LED with free shipping on AliExpress</t>
  </si>
  <si>
    <t>1 57,93 грн/шт 55,03 грн/шт - від 4 49,95 грн/шт - від 8 45,86 грн/шт - від 24</t>
  </si>
  <si>
    <t>ᐉ Запобіжник плавкий LITTELFUSE 0451002.MRL купити в Києві • IMRAD - український інтернет-магазин радіодеталей</t>
  </si>
  <si>
    <t>Littelfuse 0451002.MRL (точний MPN; виробник на сайті «LTL»)</t>
  </si>
  <si>
    <t>Є НА СКЛАДІ, МОЖНА КУПИТИ; на складі 806 шт (склад)</t>
  </si>
  <si>
    <t>1+: 8.00 грн без ПДВ; 71+: 7.07 грн без ПДВ; 303+: 6.60 грн без ПДВ</t>
  </si>
  <si>
    <t>Купити 0451002.MRL Запобіжник плавкий на складі КОСМОДРОМ, Харків, Україна</t>
  </si>
  <si>
    <t>0451002.MRL NANO2 2A fuse - Buy 0451002.MRL NANO2 2A fuse with free shipping on AliExpress</t>
  </si>
  <si>
    <t>Пошук по каталогу VD MAIS: 0466.250NRHF</t>
  </si>
  <si>
    <t>Littelfuse 0466.250NRHF (точний MPN), партнерський склад</t>
  </si>
  <si>
    <t>4 - 6 тижнів (Littelfuse)</t>
  </si>
  <si>
    <t>5+: 8.85 грн без ПДВ</t>
  </si>
  <si>
    <t>Результаты пошуку за запитом 0466.250NRHF Космодром</t>
  </si>
  <si>
    <t>0466.250 fuse 1206 250mA - Buy 0466.250 fuse 1206 250mA with free shipping on AliExpress</t>
  </si>
  <si>
    <t>1 37,65 грн/шт 36,30 грн/шт - від 4 34,96 грн/шт - від 8 33,62 грн/шт - від 20</t>
  </si>
  <si>
    <t>ᐉ Роз'єм USB GCT USB4105-GF-A купити в Києві • IMRAD - український інтернет-магазин радіодеталей</t>
  </si>
  <si>
    <t>Є НА СКЛАДІ, МОЖНА КУПИТИ; на складі 726 шт (склад)</t>
  </si>
  <si>
    <t>1+: 44.00 грн без ПДВ; 12+: 42.81 грн без ПДВ; 49+: 41.19 грн без ПДВ</t>
  </si>
  <si>
    <t>Купити USB4105-GF-A USB роз'єм на складі КОСМОДРОМ, Харків, Україна</t>
  </si>
  <si>
    <t>USB4105 GF A USB C - Buy USB4105 GF A USB C with free shipping on AliExpress</t>
  </si>
  <si>
    <t>1 4,82 грн/шт 4,35 грн/шт - від 10 4,20 грн/шт - від 35 3,89 грн/шт - від 100</t>
  </si>
  <si>
    <t>Роз'єми сигнальні растр 2,50мм JST B3B-XH-A</t>
  </si>
  <si>
    <t>JST B3B-XH-A (LF)(SN) (точний MPN)</t>
  </si>
  <si>
    <t>Є на складі 118 шт Строк 0 тижн. Всього доступно 118 шт</t>
  </si>
  <si>
    <t>від 10 5.81 грн від 10000 5.17 грн від 15000 4.69 грн</t>
  </si>
  <si>
    <t>B3B-XH-A - Замовити на VD MAIS</t>
  </si>
  <si>
    <t>JST XH 2.5mm 3P vertical header B3B XH A - Buy JST XH 2.5mm 3P vertical header B3B XH A with free shipping on AliExpress</t>
  </si>
  <si>
    <t>1 3,72 грн/шт 3,20 грн/шт - від 10 3,05 грн/шт - від 50</t>
  </si>
  <si>
    <t>Роз'єми сигнальні растр 2,50мм JST B2B-XH-A [CWF-2] [WK-02]</t>
  </si>
  <si>
    <t>JST B2B-XH-A(LF)(SN) (точний MPN), партнерський склад</t>
  </si>
  <si>
    <t>4 - 6 тижнів (JST)</t>
  </si>
  <si>
    <t>20+: 3.73 грн без ПДВ</t>
  </si>
  <si>
    <t>Результаты пошуку за запитом B2B-XH-A(LF)(SN) Космодром</t>
  </si>
  <si>
    <t>JST XH 2.5mm 2P vertical header B2B XH A - Buy JST XH 2.5mm 2P vertical header B2B XH A with free shipping on AliExpress</t>
  </si>
  <si>
    <t>Є на складі 370 шт Строк 0 тижн. Всього доступно 370 шт</t>
  </si>
  <si>
    <t>від 1 12.27 грн</t>
  </si>
  <si>
    <t>SRN6045-220M - Замовити на VD MAIS</t>
  </si>
  <si>
    <t>Bourns SRN6045-220M (точний MPN), партнерський склад</t>
  </si>
  <si>
    <t>4 - 6 тижнів (BOURNS)</t>
  </si>
  <si>
    <t>1+: 43.37 грн без ПДВ</t>
  </si>
  <si>
    <t>Результаты пошуку за запитом SRN6045-220M Космодром</t>
  </si>
  <si>
    <t>SRN6045 220M 22uH inductor - Buy SRN6045 220M 22uH inductor with free shipping on AliExpress</t>
  </si>
  <si>
    <t>1 57,12 грн/шт</t>
  </si>
  <si>
    <t>ᐉ MOSFET транзистор VISHAY SI2309CDS-T1-GE3 купити в Києві • IMRAD - український інтернет-магазин радіодеталей</t>
  </si>
  <si>
    <t>Є НА СКЛАДІ, МОЖНА КУПИТИ; на складі 2980 шт (склад)</t>
  </si>
  <si>
    <t>1+: 9.00 грн без ПДВ; 61+: 8.14 грн без ПДВ; 272+: 7.36 грн без ПДВ</t>
  </si>
  <si>
    <t>Купити SI2309CDS-T1-GE3 Транзистор польовий MOSFET на складі КОСМОДРОМ, Харків, Україна</t>
  </si>
  <si>
    <t>SI2309CDS SOT 23 - Buy SI2309CDS SOT 23 with free shipping on AliExpress</t>
  </si>
  <si>
    <t>1 1,72 грн/шт 1,62 грн/шт - від 10 1,54 грн/шт - від 50 1,40 грн/шт - від 100</t>
  </si>
  <si>
    <t>ᐉ Біполярний транзистор ON Semiconductor MMBT5551LT1G купити в Києві • IMRAD - український інтернет-магазин радіодеталей</t>
  </si>
  <si>
    <t>Є НА СКЛАДІ, МОЖНА КУПИТИ; на складі 804 шт (склад)</t>
  </si>
  <si>
    <t>1+: 1.00 грн без ПДВ; 628+: 0.80 грн без ПДВ; 2782+: 0.72 грн без ПДВ</t>
  </si>
  <si>
    <t>Купити MMBT5551LT1G Транзистор біполярний на складі КОСМОДРОМ, Харків, Україна</t>
  </si>
  <si>
    <t>MMBT5551 SOT 23 - Buy MMBT5551 SOT 23 with free shipping on AliExpress</t>
  </si>
  <si>
    <t>ᐉ Резистори smd YAGEO RC0603FR-0768KL купити в Києві • IMRAD - український інтернет-магазин радіодеталей</t>
  </si>
  <si>
    <t>книга резисторів 0603 власника (аркуш «Набори»)</t>
  </si>
  <si>
    <t>з набору</t>
  </si>
  <si>
    <t>825.00 грн</t>
  </si>
  <si>
    <t>Набір SMD резисторів у книзі 0603 170 типів 0,125 Вт 1%</t>
  </si>
  <si>
    <t>0603 resistor 68K 1% - Buy 0603 resistor 68K 1% with free shipping on AliExpress</t>
  </si>
  <si>
    <t>ᐉ Резистори smd ROYAL OHM 0603SAF5103T5E купити в Києві • IMRAD - український інтернет-магазин радіодеталей</t>
  </si>
  <si>
    <t>0603 resistor 510K 1% - Buy 0603 resistor 510K 1% with free shipping on AliExpress</t>
  </si>
  <si>
    <t>ᐉ Резистори smd YAGEO RC0603FR-07220KL купити в Києві • IMRAD - український інтернет-магазин радіодеталей</t>
  </si>
  <si>
    <t>0603 resistor 220K 1% - Buy 0603 resistor 220K 1% with free shipping on AliExpress</t>
  </si>
  <si>
    <t>ᐉ Резистори smd ROYAL OHM 0603SAF1002T5E купити в Києві • IMRAD - український інтернет-магазин радіодеталей</t>
  </si>
  <si>
    <t>0603 resistor 10K 1% - Buy 0603 resistor 10K 1% with free shipping on AliExpress</t>
  </si>
  <si>
    <t>ᐉ Резистори smd YAGEO RC0603FR-075K1L купити в Києві • IMRAD - український інтернет-магазин радіодеталей</t>
  </si>
  <si>
    <t>0603 resistor 5.1K 1% - Buy 0603 resistor 5.1K 1% with free shipping on AliExpress</t>
  </si>
  <si>
    <t>ᐉ Резистори smd YAGEO RC0603FR-0722RL купити в Києві • IMRAD - український інтернет-магазин радіодеталей</t>
  </si>
  <si>
    <t>0603 resistor 22R - Buy 0603 resistor 22R with free shipping on AliExpress</t>
  </si>
  <si>
    <t>1 5,86 грн/шт 5,12 грн/шт - від 10</t>
  </si>
  <si>
    <t>ᐉ Резистори smd Panasonic ERA6AEB224V купити в Києві • IMRAD - український інтернет-магазин радіодеталей</t>
  </si>
  <si>
    <t>Yageo RT0805BRD07220KL (220 кОм 0.1 % 0805), партнерський склад</t>
  </si>
  <si>
    <t>4 - 6 тижнів (YAGEO)</t>
  </si>
  <si>
    <t>20+: 4.60 грн без ПДВ</t>
  </si>
  <si>
    <t>Результаты пошуку за запитом RT0805BRD07220KL Космодром</t>
  </si>
  <si>
    <t>ERA 6AEB224V 220K 0.1% 0805 - Buy ERA 6AEB224V 220K 0.1% 0805 with free shipping on AliExpress</t>
  </si>
  <si>
    <t>Є на складі 50 шт Строк 0 тижн. Всього доступно 50 шт</t>
  </si>
  <si>
    <t>від 10 2.07 грн від 100 1.56 грн від 1000 1.42 грн</t>
  </si>
  <si>
    <t>RC0603 10 kOm 0.1% 25ppm - Замовити на VD MAIS</t>
  </si>
  <si>
    <t>Yageo RT0603BRD0710KL (точний MPN), партнерський склад</t>
  </si>
  <si>
    <t>20+: 3.06 грн без ПДВ</t>
  </si>
  <si>
    <t>Результаты пошуку за запитом RT0603BRD0710KL Космодром</t>
  </si>
  <si>
    <t>RT0603BRD0710KL 10K 0.1% 0603 - Buy RT0603BRD0710KL 10K 0.1% 0603 with free shipping on AliExpress</t>
  </si>
  <si>
    <t>ᐉ Резистори smd YAGEO RC0603FR-071KL купити в Києві • IMRAD - український інтернет-магазин радіодеталей</t>
  </si>
  <si>
    <t>0603 resistor 1K 1% - Buy 0603 resistor 1K 1% with free shipping on AliExpress</t>
  </si>
  <si>
    <t>ᐉ Резистори smd ROYAL OHM SMD0603-4K7-1% купити в Києві • IMRAD - український інтернет-магазин радіодеталей</t>
  </si>
  <si>
    <t>0603 resistor 4.7K 1% - Buy 0603 resistor 4.7K 1% with free shipping on AliExpress</t>
  </si>
  <si>
    <t>ᐉ Резистори smd YAGEO AC0603FR-07100KL купити в Києві • IMRAD - український інтернет-магазин радіодеталей</t>
  </si>
  <si>
    <t>0603 resistor 100K 1% - Buy 0603 resistor 100K 1% with free shipping on AliExpress</t>
  </si>
  <si>
    <t>1 1,58 грн/шт 1,34 грн/шт - від 10 1,04 грн/шт - від 100 0,95 грн/шт - від 500</t>
  </si>
  <si>
    <t>ᐉ Резистори smd YAGEO RC2512JK-074R7L купити в Києві • IMRAD - український інтернет-магазин радіодеталей</t>
  </si>
  <si>
    <t>Yageo RC2512JK-074R7L (точний MPN), партнерський склад</t>
  </si>
  <si>
    <t>10+: 7.51 грн без ПДВ</t>
  </si>
  <si>
    <t>Результаты пошуку за запитом RC2512JK-074R7L Космодром</t>
  </si>
  <si>
    <t>RC2512JK 074R7L 4.7R 2512 - Buy RC2512JK 074R7L 4.7R 2512 with free shipping on AliExpress</t>
  </si>
  <si>
    <t>ᐉ Резистори smd ROYAL OHM 1206S4F1002T5E купити в Києві • IMRAD - український інтернет-магазин радіодеталей</t>
  </si>
  <si>
    <t>Yageo 10 кОм 1 % 1206 0.25 Вт</t>
  </si>
  <si>
    <t>Є НА СКЛАДІ, МОЖНА КУПИТИ; на складі 23300 шт (склад)</t>
  </si>
  <si>
    <t>100+: 0.69 грн без ПДВ; 1000+: 0.55 грн без ПДВ; 5000+: 0.35 грн без ПДВ</t>
  </si>
  <si>
    <t>Купити SMD-резистор (1206) 10 kom ±1% (точні) SMD-резистор на складі КОСМОДРОМ, Харків, Україна</t>
  </si>
  <si>
    <t>1206 resistor 10K 1% - Buy 1206 resistor 10K 1% with free shipping on AliExpress</t>
  </si>
  <si>
    <t>Пошук по каталогу VD MAIS: LMR38010SQDDARQ1</t>
  </si>
  <si>
    <t>TI LMR38010SDDAR (точний MPN KiCad), партнерський склад</t>
  </si>
  <si>
    <t>4 - 6 тижнів (TI)</t>
  </si>
  <si>
    <t>1+: 84.59 грн без ПДВ</t>
  </si>
  <si>
    <t>Результаты пошуку за запитом LMR38010SDDAR Космодром</t>
  </si>
  <si>
    <t>LMR38010SDDAR - Buy LMR38010SDDAR with free shipping on AliExpress</t>
  </si>
  <si>
    <t>Espressif ESP32-S3-WROOM-1-N16R8 (точний MPN)</t>
  </si>
  <si>
    <t>1 480,56 грн/шт 451,73 грн/шт - від 2 432,51 грн/шт - від 4 418,09 грн/шт - від 10</t>
  </si>
  <si>
    <t>ᐉ Bluetooth прийомо-передавач ESPRESIF ESP32-S3-WROOM-1-N16R8 купити в Києві • IMRAD - український інтернет-магазин радіодеталей</t>
  </si>
  <si>
    <t>ESP32 S3 WROOM 1 N16R8 - Buy ESP32 S3 WROOM 1 N16R8 with free shipping on AliExpress</t>
  </si>
  <si>
    <t>Є на складі 227 шт Строк 0 тижн. Всього доступно 227 шт</t>
  </si>
  <si>
    <t>від 1 84.42 грн від 25 78.79 грн від 100 73.16 грн</t>
  </si>
  <si>
    <t>TPS3808G33DBV - Замовити на VD MAIS</t>
  </si>
  <si>
    <t>Доступний під</t>
  </si>
  <si>
    <t>1 109,23 грн/шт 66,35 грн/шт - від 14 63,11 грн/шт - від 33 62,30 грн/шт - від 250</t>
  </si>
  <si>
    <t>ᐉ Формувачі імпульсу скидання і супервізори Texas Instruments TPS3808G33DBVR купити в Києві • IMRAD - український інтернет-магазин радіодеталей</t>
  </si>
  <si>
    <t>TPS3808G33DBVR - Buy TPS3808G33DBVR with free shipping on AliExpress</t>
  </si>
  <si>
    <t>1 11,50 грн/шт 10,84 грн/шт - від 10 10,38 грн/шт - від 35</t>
  </si>
  <si>
    <t>ᐉ Захисна ІС ST MICROELECTRONICS USBLC6-2SC6 купити в Києві • IMRAD - український інтернет-магазин радіодеталей</t>
  </si>
  <si>
    <t>Є НА СКЛАДІ, МОЖНА КУПИТИ; на складі 61 шт (склад)</t>
  </si>
  <si>
    <t>1+: 7.50 грн без ПДВ; 74+: 6.71 грн без ПДВ; 330+: 6.06 грн без ПДВ</t>
  </si>
  <si>
    <t>Купити USBLC6-2SC6 Захисний діод (супресор) на складі КОСМОДРОМ, Харків, Україна</t>
  </si>
  <si>
    <t>USBLC6 2SC6 - Buy USBLC6 2SC6 with free shipping on AliExpress</t>
  </si>
  <si>
    <t>Є на складі 4 шт Строк 0 тижн. Всього доступно 4 шт</t>
  </si>
  <si>
    <t>від 1 198.23 грн від 10 183.54 грн від 100 168.86 грн</t>
  </si>
  <si>
    <t>ADS1115IDG - Замовити на VD MAIS</t>
  </si>
  <si>
    <t>TI ADS1115IDGSR (точний MPN)</t>
  </si>
  <si>
    <t>1 346,29 грн/шт 217,65 грн/шт - від 5 205,51 грн/шт - від 10</t>
  </si>
  <si>
    <t>ᐉ АЦП Texas Instruments ADS1115IDGSR купити в Києві • IMRAD - український інтернет-магазин радіодеталей</t>
  </si>
  <si>
    <t>додатково</t>
  </si>
  <si>
    <t>TI ADS1115IDGSR (точний MPN), партнерський склад</t>
  </si>
  <si>
    <t>тимчасово немає на складі, очікується (TI) | 4 - 6 тижнів (TI)</t>
  </si>
  <si>
    <t>1+: 98.50 грн без ПДВ | 1+: 141.21 грн без ПДВ</t>
  </si>
  <si>
    <t>Результаты пошуку за запитом ADS1115IDGSR Космодром</t>
  </si>
  <si>
    <t>ADS1115IDGSR - Buy ADS1115IDGSR with free shipping on AliExpress</t>
  </si>
  <si>
    <t>Prom.ua - продавець Ra-02</t>
  </si>
  <si>
    <t>Ai-Thinker Ra-02 SX1278 433 МГц</t>
  </si>
  <si>
    <t>Ai-Thinker 433 МГц 15км трансивер дальньої дії SX1278 LoRa Ra02, ціна 230 ₴: купити на Prom.ua | Україна</t>
  </si>
  <si>
    <t>Ai Thinker Ra 02 SX1278 433MHz - Buy Ai Thinker Ra 02 SX1278 433MHz with free shipping on AliExpress</t>
  </si>
  <si>
    <t>Набори</t>
  </si>
  <si>
    <t>книга</t>
  </si>
  <si>
    <t>набір</t>
  </si>
  <si>
    <t>Набір SMD резисторів у книзі 0603 170 типів 0,125 Вт 1 %</t>
  </si>
  <si>
    <t>Поза платою П1</t>
  </si>
  <si>
    <t>аналог</t>
  </si>
  <si>
    <t>Готово до відправки</t>
  </si>
  <si>
    <t>Панельний LED вольтметр 0.28" 0 100V DC, 3-провідний, міні, ціна 50 ₴: купити на Prom.ua | Україна</t>
  </si>
  <si>
    <t>Prom.ua - RADIOFORMAT</t>
  </si>
  <si>
    <t>Вольтметр цифровий DC 0-100 В, 0.28", червоний, трипровідний</t>
  </si>
  <si>
    <t>Вольтметр цифровий DC 0 100 В, LED-індикатор 0,28 , червоний, трипровідний, ціна 49 ₴: купити на Prom.ua | Україна, Дніпро</t>
  </si>
  <si>
    <t>Поза платою П2</t>
  </si>
  <si>
    <t>1 2,16 грн/шт 1,86 грн/шт - від 10 1,77 грн/шт - від 50 1,64 грн/шт - від 290</t>
  </si>
  <si>
    <t>ᐉ Роз'єми сигнальні растр 2,50мм JST XHP-3 купити в Києві • IMRAD - український інтернет-магазин радіодеталей</t>
  </si>
  <si>
    <t>Поза платою П3</t>
  </si>
  <si>
    <t>1 1,72 грн/шт 1,48 грн/шт - від 10 1,41 грн/шт - від 50</t>
  </si>
  <si>
    <t>ᐉ Роз'єми сигнальні растр 2,50мм JST XHP-2 купити в Києві • IMRAD - український інтернет-магазин радіодеталей</t>
  </si>
  <si>
    <t>Поза платою П4</t>
  </si>
  <si>
    <t>Є НА СКЛАДІ, МОЖНА КУПИТИ; на складі 2499 шт (склад)</t>
  </si>
  <si>
    <t>1+: 2.00 грн без ПДВ; 293+: 1.88 грн без ПДВ; 1216+: 1.81 грн без ПДВ</t>
  </si>
  <si>
    <t>Купити SXH-001T-P0.6 Роз'єм NS25 - 2,54 мм на складі КОСМОДРОМ, Харків, Україна</t>
  </si>
  <si>
    <t>JST SXH-001T-P0.6 (для XHP)</t>
  </si>
  <si>
    <t>у наявності: 1 шт 1 шт - РАДІОМАГ-Харків</t>
  </si>
  <si>
    <t>1+ 20.00 грн 10+ 2.00 грн 100+ 1.20 грн купити В кошику од. на суму грн. SXH-001T-P0.6 Виробник : JST Category: Raster signal connectors 2,50mm Description: Con</t>
  </si>
  <si>
    <t>SXH-001T-P0.6 купити - РКС Компоненти - РАДІОМАГ</t>
  </si>
  <si>
    <t>Поза платою П5</t>
  </si>
  <si>
    <t>Є НА СКЛАДІ, МОЖНА КУПИТИ; на складі 40597 шт (склад)</t>
  </si>
  <si>
    <t>1+: 3.50 грн без ПДВ; 210+: 2.38 грн без ПДВ; 911+: 2.20 грн без ПДВ</t>
  </si>
  <si>
    <t>Купити PLFF-M3-10 Міжплатний стійки пластикові на складі КОСМОДРОМ, Харків, Україна</t>
  </si>
  <si>
    <t>KLS8-0214-M3-10 (нейлонова M3/M3, 10 мм, внутрішня/зовнішня різьба)</t>
  </si>
  <si>
    <t>очікується: 15000 шт 15000 шт - очікується на замовлення: 150 шт 150 шт - термін постачання 7-21 дні (днів)</t>
  </si>
  <si>
    <t>5+ 4.00 грн 10+ 3.20 грн 100+ 2.60 грн 1000+ 2.30 грн; мінімум 5 шт</t>
  </si>
  <si>
    <t>KLS8-0214-M3-10 купити - РКС Компоненти - РАДІОМАГ</t>
  </si>
  <si>
    <t>Поза платою П6</t>
  </si>
  <si>
    <t>у наявності: 103 шт 98 шт - РАДІОМАГ-Львів 5 шт - РАДІОМАГ-Харків очікується: 20000 шт 20000 шт - очікується</t>
  </si>
  <si>
    <t>10+ 2.00 грн 14+ 1.50 грн 100+ 1.30 грн 1000+ 1.10 грн; мінімум 10 шт</t>
  </si>
  <si>
    <t>Гвинт М3 пластиковий KLS8-0318-PF-M3-06 (head type A)  за ціною від 1.10 грн - РКС Компоненти - РАДІОМАГ</t>
  </si>
  <si>
    <t>Гвинт пластиковий, полукругла головка під крест M3*6 (упаковка 100 шт)</t>
  </si>
  <si>
    <t>Є НА СКЛАДІ, МОЖНА КУПИТИ; на складі 10 шт (склад)</t>
  </si>
  <si>
    <t>1+: 186.00 грн без ПДВ; 3+: 169.26 грн без ПДВ; 13+: 152.88 грн без ПДВ</t>
  </si>
  <si>
    <t>Купити Гвинт пластиковий, полукругла головка під крест M3*6 (100pcs) Гвинт кріпильний на складі КОСМОДРОМ, Харків, Україна</t>
  </si>
  <si>
    <t>Поза платою П7</t>
  </si>
  <si>
    <t>14+ 1.50 грн 17+ 1.20 грн 100+ 1.00 грн; мінімум 14 шт</t>
  </si>
  <si>
    <t>Шайба WS3-1.5 KangYang  за ціною від 1.00 грн - РКС Компоненти - РАДІОМАГ</t>
  </si>
  <si>
    <t>Plastic Nylon Flat Washer M3x7x1mm White</t>
  </si>
  <si>
    <t>Є НА СКЛАДІ, МОЖНА КУПИТИ; на складі 3800 шт (склад)</t>
  </si>
  <si>
    <t>100+: 1.40 грн без ПДВ; 1000+: 1.12 грн без ПДВ; 5000+: 0.70 грн без ПДВ</t>
  </si>
  <si>
    <t>Купити Plastic Nylon Flat Washer M3x7x1mm White Шайба на складі КОСМОДРОМ, Харків, Україна</t>
  </si>
  <si>
    <t>Поза платою П8</t>
  </si>
  <si>
    <t>Тримач автомобільного запобіжника міні з кабелем, ціна 40 ₴: купити на Prom.ua | Україна</t>
  </si>
  <si>
    <t>Prom.ua - RadioShopUA</t>
  </si>
  <si>
    <t>Тримач запобіжника mini П-образного з кабелем</t>
  </si>
  <si>
    <t>Тримач запобіжника mini П - образного з кабелем, ціна 36 ₴: купити на Prom.ua | Україна, Київ</t>
  </si>
  <si>
    <t>Поза платою П9</t>
  </si>
  <si>
    <t>у наявності: 57 шт 57 шт - РАДІОМАГ-Львів</t>
  </si>
  <si>
    <t>2+ 10.00 грн 10+ 5.00 грн 100+ 3.00 грн 1000+ 2.00 грн; мінімум 2 шт</t>
  </si>
  <si>
    <t>Запобіжник автомобільний MINIVAL 2A (AMFM-2A) MTA  за ціною від 2.00 грн - РКС Компоненти - РАДІОМАГ</t>
  </si>
  <si>
    <t>Prom.ua - Doodah</t>
  </si>
  <si>
    <t>Yiyue FN Mini 2A 32V, 10 шт</t>
  </si>
  <si>
    <t>Запобіжник Yiyue FN Mini 2A 32V, 10 шт, ціна 54 ₴: купити на Prom.ua | Україна, Київ</t>
  </si>
  <si>
    <t>Кожне посилання відкрито скриптом check_links.py 2026-10-25: HTTP-статус, заголовок сторінки, чи названо на сторінці потрібну деталь (MPN або назва товару), наявність і ціни - як показано. «Еквівалент» - той самий номінал, корпус і параметри іншого виробника; «аналог» - інша деталь, відмінність описано в примітці. Пошукові сторінки AliExpress: товари на них автоматично не перевіряються (капча).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</si>
</sst>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###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1"/>
      <name val="Arial"/>
    </font>
    <font>
      <sz val="11"/>
      <name val="Arial"/>
    </font>
    <font>
      <b/>
      <sz val="10"/>
      <color rgb="FF000000"/>
      <name val="Arial"/>
    </font>
    <font>
      <u/>
      <sz val="10"/>
      <color rgb="FF0563C1"/>
      <name val="Arial"/>
    </font>
    <font>
      <b/>
      <sz val="11"/>
      <color rgb="FF00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8E1"/>
      </patternFill>
    </fill>
    <fill>
      <patternFill patternType="solid">
        <fgColor rgb="FF375623"/>
      </patternFill>
    </fill>
    <fill>
      <patternFill patternType="solid">
        <fgColor rgb="FFFFD966"/>
      </patternFill>
    </fill>
    <fill>
      <patternFill patternType="solid">
        <fgColor rgb="FF7F4F00"/>
      </patternFill>
    </fill>
    <fill>
      <patternFill patternType="solid">
        <fgColor rgb="FF595959"/>
      </patternFill>
    </fill>
    <fill>
      <patternFill patternType="solid">
        <fgColor rgb="FFE2EFDA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9" fontId="4" fillId="3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164" fontId="2" fillId="11" borderId="1" xfId="0" applyNumberFormat="1" applyFont="1" applyFill="1" applyBorder="1" applyAlignment="1">
      <alignment horizontal="center" vertical="top" wrapText="1"/>
    </xf>
    <xf numFmtId="4" fontId="3" fillId="11" borderId="1" xfId="0" applyNumberFormat="1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/>
    </xf>
    <xf numFmtId="0" fontId="9" fillId="11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6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5" fillId="9" borderId="0" xfId="0" applyFont="1" applyFill="1" applyAlignment="1">
      <alignment horizontal="center" vertical="top" wrapText="1"/>
    </xf>
  </cellXfs>
  <cellStyles count="1">
    <cellStyle name="Normal" xfId="0" builtinId="0"/>
  </cellStyles>
  <dxfs count="37"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border>
        <top style="medium">
          <color rgb="FF1F4E78"/>
        </top>
      </border>
    </dxf>
    <dxf>
      <border>
        <top style="medium">
          <color rgb="FF1F4E78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kosmodrom.ua/tsq-search?q=LTST-C191KGKT" TargetMode="External"/><Relationship Id="rId21" Type="http://schemas.openxmlformats.org/officeDocument/2006/relationships/hyperlink" Target="https://www.aliexpress.com/w/wholesale-B1100-13-F-SMA-schottky-100V-1A.html" TargetMode="External"/><Relationship Id="rId42" Type="http://schemas.openxmlformats.org/officeDocument/2006/relationships/hyperlink" Target="https://www.aliexpress.com/w/wholesale-JST-XH-2.5mm-3P-vertical-header-B3B-XH-A.html" TargetMode="External"/><Relationship Id="rId47" Type="http://schemas.openxmlformats.org/officeDocument/2006/relationships/hyperlink" Target="https://kosmodrom.ua/tsq-search?q=SRN6045-220M" TargetMode="External"/><Relationship Id="rId63" Type="http://schemas.openxmlformats.org/officeDocument/2006/relationships/hyperlink" Target="https://www.aliexpress.com/w/wholesale-0603-resistor-220K-1%25.html" TargetMode="External"/><Relationship Id="rId68" Type="http://schemas.openxmlformats.org/officeDocument/2006/relationships/hyperlink" Target="https://www.mini-tech.com.ua/ua/nabor-smd-rezistorov-0603-170" TargetMode="External"/><Relationship Id="rId84" Type="http://schemas.openxmlformats.org/officeDocument/2006/relationships/hyperlink" Target="https://www.aliexpress.com/w/wholesale-0603-resistor-4.7K-1%25.html" TargetMode="External"/><Relationship Id="rId89" Type="http://schemas.openxmlformats.org/officeDocument/2006/relationships/hyperlink" Target="https://kosmodrom.ua/tsq-search?q=RC2512JK-074R7L" TargetMode="External"/><Relationship Id="rId16" Type="http://schemas.openxmlformats.org/officeDocument/2006/relationships/hyperlink" Target="https://imrad.com.ua/ua/cl21a106kaynnne-3" TargetMode="External"/><Relationship Id="rId107" Type="http://schemas.openxmlformats.org/officeDocument/2006/relationships/hyperlink" Target="https://www.aliexpress.com/w/wholesale-ADS1115IDGSR.html" TargetMode="External"/><Relationship Id="rId11" Type="http://schemas.openxmlformats.org/officeDocument/2006/relationships/hyperlink" Target="https://kosmodrom.ua/tsq-search?q=CL10B104KB8NNNC" TargetMode="External"/><Relationship Id="rId32" Type="http://schemas.openxmlformats.org/officeDocument/2006/relationships/hyperlink" Target="https://kosmodrom.ua/zapobizhnik-plavkiy/0451002-mrl.html" TargetMode="External"/><Relationship Id="rId37" Type="http://schemas.openxmlformats.org/officeDocument/2006/relationships/hyperlink" Target="https://imrad.com.ua/ua/usb4105-gf-a-1" TargetMode="External"/><Relationship Id="rId53" Type="http://schemas.openxmlformats.org/officeDocument/2006/relationships/hyperlink" Target="https://kosmodrom.ua/tranzistor-bipolyarniy/mmbt5551lt1g.html" TargetMode="External"/><Relationship Id="rId58" Type="http://schemas.openxmlformats.org/officeDocument/2006/relationships/hyperlink" Target="https://imrad.com.ua/ua/0603saf5103t5e-1" TargetMode="External"/><Relationship Id="rId74" Type="http://schemas.openxmlformats.org/officeDocument/2006/relationships/hyperlink" Target="https://kosmodrom.ua/tsq-search?q=RT0805BRD07220KL" TargetMode="External"/><Relationship Id="rId79" Type="http://schemas.openxmlformats.org/officeDocument/2006/relationships/hyperlink" Target="https://imrad.com.ua/ua/rc0603fr-071kl-3" TargetMode="External"/><Relationship Id="rId102" Type="http://schemas.openxmlformats.org/officeDocument/2006/relationships/hyperlink" Target="https://imrad.com.ua/ua/usblc6-2sc6-4" TargetMode="External"/><Relationship Id="rId5" Type="http://schemas.openxmlformats.org/officeDocument/2006/relationships/hyperlink" Target="https://catalog.vdmais.ua/uk/product/grm32ec72a106ke05k/1747843/" TargetMode="External"/><Relationship Id="rId90" Type="http://schemas.openxmlformats.org/officeDocument/2006/relationships/hyperlink" Target="https://www.aliexpress.com/w/wholesale-RC2512JK-074R7L-4.7R-2512.html" TargetMode="External"/><Relationship Id="rId95" Type="http://schemas.openxmlformats.org/officeDocument/2006/relationships/hyperlink" Target="https://kosmodrom.ua/tsq-search?q=LMR38010SDDAR" TargetMode="External"/><Relationship Id="rId22" Type="http://schemas.openxmlformats.org/officeDocument/2006/relationships/hyperlink" Target="https://imrad.com.ua/ua/smaj33a-tr-4" TargetMode="External"/><Relationship Id="rId27" Type="http://schemas.openxmlformats.org/officeDocument/2006/relationships/hyperlink" Target="https://www.aliexpress.com/w/wholesale-LTST-C191KGKT-0603-LED.html" TargetMode="External"/><Relationship Id="rId43" Type="http://schemas.openxmlformats.org/officeDocument/2006/relationships/hyperlink" Target="https://imrad.com.ua/ua/b2b-xh-a-cwf-2-wk-02-9" TargetMode="External"/><Relationship Id="rId48" Type="http://schemas.openxmlformats.org/officeDocument/2006/relationships/hyperlink" Target="https://www.aliexpress.com/w/wholesale-SRN6045-220M-22uH-inductor.html" TargetMode="External"/><Relationship Id="rId64" Type="http://schemas.openxmlformats.org/officeDocument/2006/relationships/hyperlink" Target="https://imrad.com.ua/ua/0603saf1002t5e-2" TargetMode="External"/><Relationship Id="rId69" Type="http://schemas.openxmlformats.org/officeDocument/2006/relationships/hyperlink" Target="https://www.aliexpress.com/w/wholesale-0603-resistor-5.1K-1%25.html" TargetMode="External"/><Relationship Id="rId80" Type="http://schemas.openxmlformats.org/officeDocument/2006/relationships/hyperlink" Target="https://www.mini-tech.com.ua/ua/nabor-smd-rezistorov-0603-170" TargetMode="External"/><Relationship Id="rId85" Type="http://schemas.openxmlformats.org/officeDocument/2006/relationships/hyperlink" Target="https://imrad.com.ua/ua/ac0603fr-07100kl-5" TargetMode="External"/><Relationship Id="rId12" Type="http://schemas.openxmlformats.org/officeDocument/2006/relationships/hyperlink" Target="https://www.aliexpress.com/w/wholesale-100nF-0603-X7R-50V-capacitor.html" TargetMode="External"/><Relationship Id="rId17" Type="http://schemas.openxmlformats.org/officeDocument/2006/relationships/hyperlink" Target="https://catalog.vdmais.ua/uk/product/cl21a106kaynnne/1718726/" TargetMode="External"/><Relationship Id="rId33" Type="http://schemas.openxmlformats.org/officeDocument/2006/relationships/hyperlink" Target="https://www.aliexpress.com/w/wholesale-0451002.MRL-NANO2-2A-fuse.html" TargetMode="External"/><Relationship Id="rId38" Type="http://schemas.openxmlformats.org/officeDocument/2006/relationships/hyperlink" Target="https://kosmodrom.ua/usb-roz-39-yem/10sq050-dc.html" TargetMode="External"/><Relationship Id="rId59" Type="http://schemas.openxmlformats.org/officeDocument/2006/relationships/hyperlink" Target="https://www.mini-tech.com.ua/ua/nabor-smd-rezistorov-0603-170" TargetMode="External"/><Relationship Id="rId103" Type="http://schemas.openxmlformats.org/officeDocument/2006/relationships/hyperlink" Target="https://kosmodrom.ua/zahisniy-diod-supresor/usblc6-2sc6.html" TargetMode="External"/><Relationship Id="rId108" Type="http://schemas.openxmlformats.org/officeDocument/2006/relationships/hyperlink" Target="https://prom.ua/ua/p3212257815-thinker-433-mgts.html" TargetMode="External"/><Relationship Id="rId54" Type="http://schemas.openxmlformats.org/officeDocument/2006/relationships/hyperlink" Target="https://www.aliexpress.com/w/wholesale-MMBT5551-SOT-23.html" TargetMode="External"/><Relationship Id="rId70" Type="http://schemas.openxmlformats.org/officeDocument/2006/relationships/hyperlink" Target="https://imrad.com.ua/ua/rc0603fr-0722rl-9" TargetMode="External"/><Relationship Id="rId75" Type="http://schemas.openxmlformats.org/officeDocument/2006/relationships/hyperlink" Target="https://www.aliexpress.com/w/wholesale-ERA-6AEB224V-220K-0.1%25-0805.html" TargetMode="External"/><Relationship Id="rId91" Type="http://schemas.openxmlformats.org/officeDocument/2006/relationships/hyperlink" Target="https://imrad.com.ua/ua/1206s4f1002t5e-3" TargetMode="External"/><Relationship Id="rId96" Type="http://schemas.openxmlformats.org/officeDocument/2006/relationships/hyperlink" Target="https://www.aliexpress.com/w/wholesale-LMR38010SDDAR.html" TargetMode="External"/><Relationship Id="rId1" Type="http://schemas.openxmlformats.org/officeDocument/2006/relationships/hyperlink" Target="https://imrad.com.ua/ua/eeefk2a220p-3" TargetMode="External"/><Relationship Id="rId6" Type="http://schemas.openxmlformats.org/officeDocument/2006/relationships/hyperlink" Target="https://www.aliexpress.com/w/wholesale-10uF-100V-1210-X7S-capacitor.html" TargetMode="External"/><Relationship Id="rId15" Type="http://schemas.openxmlformats.org/officeDocument/2006/relationships/hyperlink" Target="https://www.aliexpress.com/w/wholesale-22uF-25V-0805-X5R-capacitor.html" TargetMode="External"/><Relationship Id="rId23" Type="http://schemas.openxmlformats.org/officeDocument/2006/relationships/hyperlink" Target="https://kosmodrom.ua/tsq-search?q=SMAJ33A-TR" TargetMode="External"/><Relationship Id="rId28" Type="http://schemas.openxmlformats.org/officeDocument/2006/relationships/hyperlink" Target="https://imrad.com.ua/ua/kp-1608surck-3" TargetMode="External"/><Relationship Id="rId36" Type="http://schemas.openxmlformats.org/officeDocument/2006/relationships/hyperlink" Target="https://www.aliexpress.com/w/wholesale-0466.250-fuse-1206-250mA.html" TargetMode="External"/><Relationship Id="rId49" Type="http://schemas.openxmlformats.org/officeDocument/2006/relationships/hyperlink" Target="https://imrad.com.ua/ua/si2309cds-t1-ge3-3" TargetMode="External"/><Relationship Id="rId57" Type="http://schemas.openxmlformats.org/officeDocument/2006/relationships/hyperlink" Target="https://www.aliexpress.com/w/wholesale-0603-resistor-68K-1%25.html" TargetMode="External"/><Relationship Id="rId106" Type="http://schemas.openxmlformats.org/officeDocument/2006/relationships/hyperlink" Target="https://imrad.com.ua/ua/ads1115idgsr-3" TargetMode="External"/><Relationship Id="rId10" Type="http://schemas.openxmlformats.org/officeDocument/2006/relationships/hyperlink" Target="https://imrad.com.ua/ua/cl10b104kb8nnnc-8" TargetMode="External"/><Relationship Id="rId31" Type="http://schemas.openxmlformats.org/officeDocument/2006/relationships/hyperlink" Target="https://imrad.com.ua/ua/0451002-mrl-2" TargetMode="External"/><Relationship Id="rId44" Type="http://schemas.openxmlformats.org/officeDocument/2006/relationships/hyperlink" Target="https://kosmodrom.ua/tsq-search?q=B2B-XH-A%28LF%29%28SN%29" TargetMode="External"/><Relationship Id="rId52" Type="http://schemas.openxmlformats.org/officeDocument/2006/relationships/hyperlink" Target="https://imrad.com.ua/ua/mmbt5551lt1g-3" TargetMode="External"/><Relationship Id="rId60" Type="http://schemas.openxmlformats.org/officeDocument/2006/relationships/hyperlink" Target="https://www.aliexpress.com/w/wholesale-0603-resistor-510K-1%25.html" TargetMode="External"/><Relationship Id="rId65" Type="http://schemas.openxmlformats.org/officeDocument/2006/relationships/hyperlink" Target="https://www.mini-tech.com.ua/ua/nabor-smd-rezistorov-0603-170" TargetMode="External"/><Relationship Id="rId73" Type="http://schemas.openxmlformats.org/officeDocument/2006/relationships/hyperlink" Target="https://imrad.com.ua/ua/era6aeb224v-6" TargetMode="External"/><Relationship Id="rId78" Type="http://schemas.openxmlformats.org/officeDocument/2006/relationships/hyperlink" Target="https://www.aliexpress.com/w/wholesale-RT0603BRD0710KL-10K-0.1%25-0603.html" TargetMode="External"/><Relationship Id="rId81" Type="http://schemas.openxmlformats.org/officeDocument/2006/relationships/hyperlink" Target="https://www.aliexpress.com/w/wholesale-0603-resistor-1K-1%25.html" TargetMode="External"/><Relationship Id="rId86" Type="http://schemas.openxmlformats.org/officeDocument/2006/relationships/hyperlink" Target="https://www.mini-tech.com.ua/ua/nabor-smd-rezistorov-0603-170" TargetMode="External"/><Relationship Id="rId94" Type="http://schemas.openxmlformats.org/officeDocument/2006/relationships/hyperlink" Target="https://catalog.vdmais.ua/uk/parasearch/?keyword=LMR38010SQDDARQ1" TargetMode="External"/><Relationship Id="rId99" Type="http://schemas.openxmlformats.org/officeDocument/2006/relationships/hyperlink" Target="https://catalog.vdmais.ua/uk/product/tps3808g33dbvr/1716171/" TargetMode="External"/><Relationship Id="rId101" Type="http://schemas.openxmlformats.org/officeDocument/2006/relationships/hyperlink" Target="https://www.aliexpress.com/w/wholesale-TPS3808G33DBVR.html" TargetMode="External"/><Relationship Id="rId4" Type="http://schemas.openxmlformats.org/officeDocument/2006/relationships/hyperlink" Target="https://imrad.com.ua/ua/grm32ec72a106ke05l-2" TargetMode="External"/><Relationship Id="rId9" Type="http://schemas.openxmlformats.org/officeDocument/2006/relationships/hyperlink" Target="https://www.aliexpress.com/w/wholesale-100nF-100V-0603-X7R-capacitor.html" TargetMode="External"/><Relationship Id="rId13" Type="http://schemas.openxmlformats.org/officeDocument/2006/relationships/hyperlink" Target="https://imrad.com.ua/ua/grm21br61e226me44l-1" TargetMode="External"/><Relationship Id="rId18" Type="http://schemas.openxmlformats.org/officeDocument/2006/relationships/hyperlink" Target="https://www.aliexpress.com/w/wholesale-10uF-25V-0805-X5R-capacitor.html" TargetMode="External"/><Relationship Id="rId39" Type="http://schemas.openxmlformats.org/officeDocument/2006/relationships/hyperlink" Target="https://www.aliexpress.com/w/wholesale-USB4105-GF-A-USB-C.html" TargetMode="External"/><Relationship Id="rId109" Type="http://schemas.openxmlformats.org/officeDocument/2006/relationships/hyperlink" Target="https://www.aliexpress.com/w/wholesale-Ai-Thinker-Ra-02-SX1278-433MHz.html" TargetMode="External"/><Relationship Id="rId34" Type="http://schemas.openxmlformats.org/officeDocument/2006/relationships/hyperlink" Target="https://catalog.vdmais.ua/uk/parasearch/?keyword=0466.250NRHF" TargetMode="External"/><Relationship Id="rId50" Type="http://schemas.openxmlformats.org/officeDocument/2006/relationships/hyperlink" Target="https://kosmodrom.ua/tranzistor-poloviy-mosfet/si2309cds-t1-ge3.html" TargetMode="External"/><Relationship Id="rId55" Type="http://schemas.openxmlformats.org/officeDocument/2006/relationships/hyperlink" Target="https://imrad.com.ua/ua/rc0603fr-0768kl-8" TargetMode="External"/><Relationship Id="rId76" Type="http://schemas.openxmlformats.org/officeDocument/2006/relationships/hyperlink" Target="https://catalog.vdmais.ua/uk/product/rt0603brd0710kl/1697301/" TargetMode="External"/><Relationship Id="rId97" Type="http://schemas.openxmlformats.org/officeDocument/2006/relationships/hyperlink" Target="https://imrad.com.ua/ua/esp32-s3-wroom-1-n16r8-8" TargetMode="External"/><Relationship Id="rId104" Type="http://schemas.openxmlformats.org/officeDocument/2006/relationships/hyperlink" Target="https://www.aliexpress.com/w/wholesale-USBLC6-2SC6.html" TargetMode="External"/><Relationship Id="rId7" Type="http://schemas.openxmlformats.org/officeDocument/2006/relationships/hyperlink" Target="https://imrad.com.ua/ua/cl10b104kc8nnnc-3" TargetMode="External"/><Relationship Id="rId71" Type="http://schemas.openxmlformats.org/officeDocument/2006/relationships/hyperlink" Target="https://www.mini-tech.com.ua/ua/nabor-smd-rezistorov-0603-170" TargetMode="External"/><Relationship Id="rId92" Type="http://schemas.openxmlformats.org/officeDocument/2006/relationships/hyperlink" Target="https://kosmodrom.ua/smd-rezistor-2513/smd-rezistor-1206-10-kom-1-tochni.html" TargetMode="External"/><Relationship Id="rId2" Type="http://schemas.openxmlformats.org/officeDocument/2006/relationships/hyperlink" Target="https://kosmodrom.ua/kondensator-elektrolitichniy/eeefk2a220p-2.html" TargetMode="External"/><Relationship Id="rId29" Type="http://schemas.openxmlformats.org/officeDocument/2006/relationships/hyperlink" Target="https://kosmodrom.ua/tsq-search?q=KP-1608SURCK" TargetMode="External"/><Relationship Id="rId24" Type="http://schemas.openxmlformats.org/officeDocument/2006/relationships/hyperlink" Target="https://www.aliexpress.com/w/wholesale-SMAJ33A-TVS-diode-SMA-unidirectional.html" TargetMode="External"/><Relationship Id="rId40" Type="http://schemas.openxmlformats.org/officeDocument/2006/relationships/hyperlink" Target="https://imrad.com.ua/ua/b3b-xh-a-9" TargetMode="External"/><Relationship Id="rId45" Type="http://schemas.openxmlformats.org/officeDocument/2006/relationships/hyperlink" Target="https://www.aliexpress.com/w/wholesale-JST-XH-2.5mm-2P-vertical-header-B2B-XH-A.html" TargetMode="External"/><Relationship Id="rId66" Type="http://schemas.openxmlformats.org/officeDocument/2006/relationships/hyperlink" Target="https://www.aliexpress.com/w/wholesale-0603-resistor-10K-1%25.html" TargetMode="External"/><Relationship Id="rId87" Type="http://schemas.openxmlformats.org/officeDocument/2006/relationships/hyperlink" Target="https://www.aliexpress.com/w/wholesale-0603-resistor-100K-1%25.html" TargetMode="External"/><Relationship Id="rId61" Type="http://schemas.openxmlformats.org/officeDocument/2006/relationships/hyperlink" Target="https://imrad.com.ua/ua/rc0603fr-07220kl-8" TargetMode="External"/><Relationship Id="rId82" Type="http://schemas.openxmlformats.org/officeDocument/2006/relationships/hyperlink" Target="https://imrad.com.ua/ua/smd0603-4k7-1--2" TargetMode="External"/><Relationship Id="rId19" Type="http://schemas.openxmlformats.org/officeDocument/2006/relationships/hyperlink" Target="https://imrad.com.ua/ua/b1100-13-f-9" TargetMode="External"/><Relationship Id="rId14" Type="http://schemas.openxmlformats.org/officeDocument/2006/relationships/hyperlink" Target="https://kosmodrom.ua/tsq-search?q=GRM21BR61E226ME44L" TargetMode="External"/><Relationship Id="rId30" Type="http://schemas.openxmlformats.org/officeDocument/2006/relationships/hyperlink" Target="https://www.aliexpress.com/w/wholesale-KP-1608SURCK-0603-red-LED.html" TargetMode="External"/><Relationship Id="rId35" Type="http://schemas.openxmlformats.org/officeDocument/2006/relationships/hyperlink" Target="https://kosmodrom.ua/tsq-search?q=0466.250NRHF" TargetMode="External"/><Relationship Id="rId56" Type="http://schemas.openxmlformats.org/officeDocument/2006/relationships/hyperlink" Target="https://www.mini-tech.com.ua/ua/nabor-smd-rezistorov-0603-170" TargetMode="External"/><Relationship Id="rId77" Type="http://schemas.openxmlformats.org/officeDocument/2006/relationships/hyperlink" Target="https://kosmodrom.ua/tsq-search?q=RT0603BRD0710KL" TargetMode="External"/><Relationship Id="rId100" Type="http://schemas.openxmlformats.org/officeDocument/2006/relationships/hyperlink" Target="https://imrad.com.ua/ua/tps3808g33dbvr-4" TargetMode="External"/><Relationship Id="rId105" Type="http://schemas.openxmlformats.org/officeDocument/2006/relationships/hyperlink" Target="https://catalog.vdmais.ua/uk/product/ads1115idgsr/1745986/" TargetMode="External"/><Relationship Id="rId8" Type="http://schemas.openxmlformats.org/officeDocument/2006/relationships/hyperlink" Target="https://kosmodrom.ua/tsq-search?q=CL10B104KC8NNNC" TargetMode="External"/><Relationship Id="rId51" Type="http://schemas.openxmlformats.org/officeDocument/2006/relationships/hyperlink" Target="https://www.aliexpress.com/w/wholesale-SI2309CDS-SOT-23.html" TargetMode="External"/><Relationship Id="rId72" Type="http://schemas.openxmlformats.org/officeDocument/2006/relationships/hyperlink" Target="https://www.aliexpress.com/w/wholesale-0603-resistor-22R.html" TargetMode="External"/><Relationship Id="rId93" Type="http://schemas.openxmlformats.org/officeDocument/2006/relationships/hyperlink" Target="https://www.aliexpress.com/w/wholesale-1206-resistor-10K-1%25.html" TargetMode="External"/><Relationship Id="rId98" Type="http://schemas.openxmlformats.org/officeDocument/2006/relationships/hyperlink" Target="https://www.aliexpress.com/w/wholesale-ESP32-S3-WROOM-1-N16R8.html" TargetMode="External"/><Relationship Id="rId3" Type="http://schemas.openxmlformats.org/officeDocument/2006/relationships/hyperlink" Target="https://www.aliexpress.com/w/wholesale-EEE-FK2A220P-22uF-100V-SMD.html" TargetMode="External"/><Relationship Id="rId25" Type="http://schemas.openxmlformats.org/officeDocument/2006/relationships/hyperlink" Target="https://imrad.com.ua/ua/ltst-c191kgkt-4" TargetMode="External"/><Relationship Id="rId46" Type="http://schemas.openxmlformats.org/officeDocument/2006/relationships/hyperlink" Target="https://catalog.vdmais.ua/uk/product/srn6045-220m/1628266/" TargetMode="External"/><Relationship Id="rId67" Type="http://schemas.openxmlformats.org/officeDocument/2006/relationships/hyperlink" Target="https://imrad.com.ua/ua/rc0603fr-075k1l-4" TargetMode="External"/><Relationship Id="rId20" Type="http://schemas.openxmlformats.org/officeDocument/2006/relationships/hyperlink" Target="https://kosmodrom.ua/diod-shottki-2/b1100-13-f.html" TargetMode="External"/><Relationship Id="rId41" Type="http://schemas.openxmlformats.org/officeDocument/2006/relationships/hyperlink" Target="https://catalog.vdmais.ua/uk/product/b3b-xh-a-%28lf%29%28sn%29/1418386/" TargetMode="External"/><Relationship Id="rId62" Type="http://schemas.openxmlformats.org/officeDocument/2006/relationships/hyperlink" Target="https://www.mini-tech.com.ua/ua/nabor-smd-rezistorov-0603-170" TargetMode="External"/><Relationship Id="rId83" Type="http://schemas.openxmlformats.org/officeDocument/2006/relationships/hyperlink" Target="https://www.mini-tech.com.ua/ua/nabor-smd-rezistorov-0603-170" TargetMode="External"/><Relationship Id="rId88" Type="http://schemas.openxmlformats.org/officeDocument/2006/relationships/hyperlink" Target="https://imrad.com.ua/ua/rc2512jk-074r7l-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ni-tech.com.ua/ua/nabor-smd-rezistorov-0603-17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cscomponents.kiev.ua/search?q=KLS8-0214-M3-10" TargetMode="External"/><Relationship Id="rId13" Type="http://schemas.openxmlformats.org/officeDocument/2006/relationships/hyperlink" Target="https://prom.ua/ua/p2254860639-derzhatel-avtomobilnogo-predohranitelya.html" TargetMode="External"/><Relationship Id="rId3" Type="http://schemas.openxmlformats.org/officeDocument/2006/relationships/hyperlink" Target="https://imrad.com.ua/ua/xhp-3-3" TargetMode="External"/><Relationship Id="rId7" Type="http://schemas.openxmlformats.org/officeDocument/2006/relationships/hyperlink" Target="https://kosmodrom.ua/mizhplatni-stiyki-plastikovi/plff-m3-10.html" TargetMode="External"/><Relationship Id="rId12" Type="http://schemas.openxmlformats.org/officeDocument/2006/relationships/hyperlink" Target="https://kosmodrom.ua/shayba-2/plastic-nylon-flat-washer-m3x7x1mm-white-2.html" TargetMode="External"/><Relationship Id="rId2" Type="http://schemas.openxmlformats.org/officeDocument/2006/relationships/hyperlink" Target="https://prom.ua/ua/p1469578947-voltmetr-tsifrovoj-100.html" TargetMode="External"/><Relationship Id="rId16" Type="http://schemas.openxmlformats.org/officeDocument/2006/relationships/hyperlink" Target="https://prom.ua/ua/p2073082340-predohranitel-elektricheskij-plavkij.html" TargetMode="External"/><Relationship Id="rId1" Type="http://schemas.openxmlformats.org/officeDocument/2006/relationships/hyperlink" Target="https://prom.ua/ua/p2882297154-panelnyj-led-voltmetr.html" TargetMode="External"/><Relationship Id="rId6" Type="http://schemas.openxmlformats.org/officeDocument/2006/relationships/hyperlink" Target="https://www.rcscomponents.kiev.ua/search?q=SXH-001T-P0.6" TargetMode="External"/><Relationship Id="rId11" Type="http://schemas.openxmlformats.org/officeDocument/2006/relationships/hyperlink" Target="https://www.rcscomponents.kiev.ua/product/shaiba-ws3-1-5_198596.html" TargetMode="External"/><Relationship Id="rId5" Type="http://schemas.openxmlformats.org/officeDocument/2006/relationships/hyperlink" Target="https://kosmodrom.ua/roz-39-yem-ns25-2-54-mm/sxh-001t-p0-6-2.html" TargetMode="External"/><Relationship Id="rId15" Type="http://schemas.openxmlformats.org/officeDocument/2006/relationships/hyperlink" Target="https://www.rcscomponents.kiev.ua/product/zapobizhnyk-avtomobilnyi-minival-2a-amfm-2a_168879.html" TargetMode="External"/><Relationship Id="rId10" Type="http://schemas.openxmlformats.org/officeDocument/2006/relationships/hyperlink" Target="https://kosmodrom.ua/gvint-kripilniy/gvint-plastikoviy-polukrugla-golovka-pid-krest-m3-6-100pcs-2.html" TargetMode="External"/><Relationship Id="rId4" Type="http://schemas.openxmlformats.org/officeDocument/2006/relationships/hyperlink" Target="https://imrad.com.ua/ua/xhp-2-3" TargetMode="External"/><Relationship Id="rId9" Type="http://schemas.openxmlformats.org/officeDocument/2006/relationships/hyperlink" Target="https://www.rcscomponents.kiev.ua/product/hvynt-m3-plastykovyi-kls8-0318-pf-m3-06-head-type-a_158561.html" TargetMode="External"/><Relationship Id="rId14" Type="http://schemas.openxmlformats.org/officeDocument/2006/relationships/hyperlink" Target="https://prom.ua/ua/p3200661263-trimach-zapobizhnika-mini.html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kosmodrom.ua/tsq-search?q=LTST-C191KGKT" TargetMode="External"/><Relationship Id="rId117" Type="http://schemas.openxmlformats.org/officeDocument/2006/relationships/hyperlink" Target="https://www.rcscomponents.kiev.ua/search?q=SXH-001T-P0.6" TargetMode="External"/><Relationship Id="rId21" Type="http://schemas.openxmlformats.org/officeDocument/2006/relationships/hyperlink" Target="https://www.aliexpress.com/w/wholesale-B1100-13-F-SMA-schottky-100V-1A.html" TargetMode="External"/><Relationship Id="rId42" Type="http://schemas.openxmlformats.org/officeDocument/2006/relationships/hyperlink" Target="https://www.aliexpress.com/w/wholesale-JST-XH-2.5mm-3P-vertical-header-B3B-XH-A.html" TargetMode="External"/><Relationship Id="rId47" Type="http://schemas.openxmlformats.org/officeDocument/2006/relationships/hyperlink" Target="https://kosmodrom.ua/tsq-search?q=SRN6045-220M" TargetMode="External"/><Relationship Id="rId63" Type="http://schemas.openxmlformats.org/officeDocument/2006/relationships/hyperlink" Target="https://www.aliexpress.com/w/wholesale-0603-resistor-220K-1%25.html" TargetMode="External"/><Relationship Id="rId68" Type="http://schemas.openxmlformats.org/officeDocument/2006/relationships/hyperlink" Target="https://www.mini-tech.com.ua/ua/nabor-smd-rezistorov-0603-170" TargetMode="External"/><Relationship Id="rId84" Type="http://schemas.openxmlformats.org/officeDocument/2006/relationships/hyperlink" Target="https://www.aliexpress.com/w/wholesale-0603-resistor-4.7K-1%25.html" TargetMode="External"/><Relationship Id="rId89" Type="http://schemas.openxmlformats.org/officeDocument/2006/relationships/hyperlink" Target="https://kosmodrom.ua/tsq-search?q=RC2512JK-074R7L" TargetMode="External"/><Relationship Id="rId112" Type="http://schemas.openxmlformats.org/officeDocument/2006/relationships/hyperlink" Target="https://prom.ua/ua/p2882297154-panelnyj-led-voltmetr.html" TargetMode="External"/><Relationship Id="rId16" Type="http://schemas.openxmlformats.org/officeDocument/2006/relationships/hyperlink" Target="https://imrad.com.ua/ua/cl21a106kaynnne-3" TargetMode="External"/><Relationship Id="rId107" Type="http://schemas.openxmlformats.org/officeDocument/2006/relationships/hyperlink" Target="https://kosmodrom.ua/tsq-search?q=ADS1115IDGSR" TargetMode="External"/><Relationship Id="rId11" Type="http://schemas.openxmlformats.org/officeDocument/2006/relationships/hyperlink" Target="https://kosmodrom.ua/tsq-search?q=CL10B104KB8NNNC" TargetMode="External"/><Relationship Id="rId32" Type="http://schemas.openxmlformats.org/officeDocument/2006/relationships/hyperlink" Target="https://kosmodrom.ua/zapobizhnik-plavkiy/0451002-mrl.html" TargetMode="External"/><Relationship Id="rId37" Type="http://schemas.openxmlformats.org/officeDocument/2006/relationships/hyperlink" Target="https://imrad.com.ua/ua/usb4105-gf-a-1" TargetMode="External"/><Relationship Id="rId53" Type="http://schemas.openxmlformats.org/officeDocument/2006/relationships/hyperlink" Target="https://kosmodrom.ua/tranzistor-bipolyarniy/mmbt5551lt1g.html" TargetMode="External"/><Relationship Id="rId58" Type="http://schemas.openxmlformats.org/officeDocument/2006/relationships/hyperlink" Target="https://imrad.com.ua/ua/0603saf5103t5e-1" TargetMode="External"/><Relationship Id="rId74" Type="http://schemas.openxmlformats.org/officeDocument/2006/relationships/hyperlink" Target="https://kosmodrom.ua/tsq-search?q=RT0805BRD07220KL" TargetMode="External"/><Relationship Id="rId79" Type="http://schemas.openxmlformats.org/officeDocument/2006/relationships/hyperlink" Target="https://imrad.com.ua/ua/rc0603fr-071kl-3" TargetMode="External"/><Relationship Id="rId102" Type="http://schemas.openxmlformats.org/officeDocument/2006/relationships/hyperlink" Target="https://imrad.com.ua/ua/usblc6-2sc6-4" TargetMode="External"/><Relationship Id="rId123" Type="http://schemas.openxmlformats.org/officeDocument/2006/relationships/hyperlink" Target="https://kosmodrom.ua/shayba-2/plastic-nylon-flat-washer-m3x7x1mm-white-2.html" TargetMode="External"/><Relationship Id="rId5" Type="http://schemas.openxmlformats.org/officeDocument/2006/relationships/hyperlink" Target="https://catalog.vdmais.ua/uk/product/grm32ec72a106ke05k/1747843/" TargetMode="External"/><Relationship Id="rId90" Type="http://schemas.openxmlformats.org/officeDocument/2006/relationships/hyperlink" Target="https://www.aliexpress.com/w/wholesale-RC2512JK-074R7L-4.7R-2512.html" TargetMode="External"/><Relationship Id="rId95" Type="http://schemas.openxmlformats.org/officeDocument/2006/relationships/hyperlink" Target="https://kosmodrom.ua/tsq-search?q=LMR38010SDDAR" TargetMode="External"/><Relationship Id="rId22" Type="http://schemas.openxmlformats.org/officeDocument/2006/relationships/hyperlink" Target="https://imrad.com.ua/ua/smaj33a-tr-4" TargetMode="External"/><Relationship Id="rId27" Type="http://schemas.openxmlformats.org/officeDocument/2006/relationships/hyperlink" Target="https://www.aliexpress.com/w/wholesale-LTST-C191KGKT-0603-LED.html" TargetMode="External"/><Relationship Id="rId43" Type="http://schemas.openxmlformats.org/officeDocument/2006/relationships/hyperlink" Target="https://imrad.com.ua/ua/b2b-xh-a-cwf-2-wk-02-9" TargetMode="External"/><Relationship Id="rId48" Type="http://schemas.openxmlformats.org/officeDocument/2006/relationships/hyperlink" Target="https://www.aliexpress.com/w/wholesale-SRN6045-220M-22uH-inductor.html" TargetMode="External"/><Relationship Id="rId64" Type="http://schemas.openxmlformats.org/officeDocument/2006/relationships/hyperlink" Target="https://imrad.com.ua/ua/0603saf1002t5e-2" TargetMode="External"/><Relationship Id="rId69" Type="http://schemas.openxmlformats.org/officeDocument/2006/relationships/hyperlink" Target="https://www.aliexpress.com/w/wholesale-0603-resistor-5.1K-1%25.html" TargetMode="External"/><Relationship Id="rId113" Type="http://schemas.openxmlformats.org/officeDocument/2006/relationships/hyperlink" Target="https://prom.ua/ua/p1469578947-voltmetr-tsifrovoj-100.html" TargetMode="External"/><Relationship Id="rId118" Type="http://schemas.openxmlformats.org/officeDocument/2006/relationships/hyperlink" Target="https://kosmodrom.ua/mizhplatni-stiyki-plastikovi/plff-m3-10.html" TargetMode="External"/><Relationship Id="rId80" Type="http://schemas.openxmlformats.org/officeDocument/2006/relationships/hyperlink" Target="https://www.mini-tech.com.ua/ua/nabor-smd-rezistorov-0603-170" TargetMode="External"/><Relationship Id="rId85" Type="http://schemas.openxmlformats.org/officeDocument/2006/relationships/hyperlink" Target="https://imrad.com.ua/ua/ac0603fr-07100kl-5" TargetMode="External"/><Relationship Id="rId12" Type="http://schemas.openxmlformats.org/officeDocument/2006/relationships/hyperlink" Target="https://www.aliexpress.com/w/wholesale-100nF-0603-X7R-50V-capacitor.html" TargetMode="External"/><Relationship Id="rId17" Type="http://schemas.openxmlformats.org/officeDocument/2006/relationships/hyperlink" Target="https://catalog.vdmais.ua/uk/product/cl21a106kaynnne/1718726/" TargetMode="External"/><Relationship Id="rId33" Type="http://schemas.openxmlformats.org/officeDocument/2006/relationships/hyperlink" Target="https://www.aliexpress.com/w/wholesale-0451002.MRL-NANO2-2A-fuse.html" TargetMode="External"/><Relationship Id="rId38" Type="http://schemas.openxmlformats.org/officeDocument/2006/relationships/hyperlink" Target="https://kosmodrom.ua/usb-roz-39-yem/10sq050-dc.html" TargetMode="External"/><Relationship Id="rId59" Type="http://schemas.openxmlformats.org/officeDocument/2006/relationships/hyperlink" Target="https://www.mini-tech.com.ua/ua/nabor-smd-rezistorov-0603-170" TargetMode="External"/><Relationship Id="rId103" Type="http://schemas.openxmlformats.org/officeDocument/2006/relationships/hyperlink" Target="https://kosmodrom.ua/zahisniy-diod-supresor/usblc6-2sc6.html" TargetMode="External"/><Relationship Id="rId108" Type="http://schemas.openxmlformats.org/officeDocument/2006/relationships/hyperlink" Target="https://www.aliexpress.com/w/wholesale-ADS1115IDGSR.html" TargetMode="External"/><Relationship Id="rId124" Type="http://schemas.openxmlformats.org/officeDocument/2006/relationships/hyperlink" Target="https://prom.ua/ua/p2254860639-derzhatel-avtomobilnogo-predohranitelya.html" TargetMode="External"/><Relationship Id="rId54" Type="http://schemas.openxmlformats.org/officeDocument/2006/relationships/hyperlink" Target="https://www.aliexpress.com/w/wholesale-MMBT5551-SOT-23.html" TargetMode="External"/><Relationship Id="rId70" Type="http://schemas.openxmlformats.org/officeDocument/2006/relationships/hyperlink" Target="https://imrad.com.ua/ua/rc0603fr-0722rl-9" TargetMode="External"/><Relationship Id="rId75" Type="http://schemas.openxmlformats.org/officeDocument/2006/relationships/hyperlink" Target="https://www.aliexpress.com/w/wholesale-ERA-6AEB224V-220K-0.1%25-0805.html" TargetMode="External"/><Relationship Id="rId91" Type="http://schemas.openxmlformats.org/officeDocument/2006/relationships/hyperlink" Target="https://imrad.com.ua/ua/1206s4f1002t5e-3" TargetMode="External"/><Relationship Id="rId96" Type="http://schemas.openxmlformats.org/officeDocument/2006/relationships/hyperlink" Target="https://www.aliexpress.com/w/wholesale-LMR38010SDDAR.html" TargetMode="External"/><Relationship Id="rId1" Type="http://schemas.openxmlformats.org/officeDocument/2006/relationships/hyperlink" Target="https://imrad.com.ua/ua/eeefk2a220p-3" TargetMode="External"/><Relationship Id="rId6" Type="http://schemas.openxmlformats.org/officeDocument/2006/relationships/hyperlink" Target="https://www.aliexpress.com/w/wholesale-10uF-100V-1210-X7S-capacitor.html" TargetMode="External"/><Relationship Id="rId23" Type="http://schemas.openxmlformats.org/officeDocument/2006/relationships/hyperlink" Target="https://kosmodrom.ua/tsq-search?q=SMAJ33A-TR" TargetMode="External"/><Relationship Id="rId28" Type="http://schemas.openxmlformats.org/officeDocument/2006/relationships/hyperlink" Target="https://imrad.com.ua/ua/kp-1608surck-3" TargetMode="External"/><Relationship Id="rId49" Type="http://schemas.openxmlformats.org/officeDocument/2006/relationships/hyperlink" Target="https://imrad.com.ua/ua/si2309cds-t1-ge3-3" TargetMode="External"/><Relationship Id="rId114" Type="http://schemas.openxmlformats.org/officeDocument/2006/relationships/hyperlink" Target="https://imrad.com.ua/ua/xhp-3-3" TargetMode="External"/><Relationship Id="rId119" Type="http://schemas.openxmlformats.org/officeDocument/2006/relationships/hyperlink" Target="https://www.rcscomponents.kiev.ua/search?q=KLS8-0214-M3-10" TargetMode="External"/><Relationship Id="rId44" Type="http://schemas.openxmlformats.org/officeDocument/2006/relationships/hyperlink" Target="https://kosmodrom.ua/tsq-search?q=B2B-XH-A%28LF%29%28SN%29" TargetMode="External"/><Relationship Id="rId60" Type="http://schemas.openxmlformats.org/officeDocument/2006/relationships/hyperlink" Target="https://www.aliexpress.com/w/wholesale-0603-resistor-510K-1%25.html" TargetMode="External"/><Relationship Id="rId65" Type="http://schemas.openxmlformats.org/officeDocument/2006/relationships/hyperlink" Target="https://www.mini-tech.com.ua/ua/nabor-smd-rezistorov-0603-170" TargetMode="External"/><Relationship Id="rId81" Type="http://schemas.openxmlformats.org/officeDocument/2006/relationships/hyperlink" Target="https://www.aliexpress.com/w/wholesale-0603-resistor-1K-1%25.html" TargetMode="External"/><Relationship Id="rId86" Type="http://schemas.openxmlformats.org/officeDocument/2006/relationships/hyperlink" Target="https://www.mini-tech.com.ua/ua/nabor-smd-rezistorov-0603-170" TargetMode="External"/><Relationship Id="rId13" Type="http://schemas.openxmlformats.org/officeDocument/2006/relationships/hyperlink" Target="https://imrad.com.ua/ua/grm21br61e226me44l-1" TargetMode="External"/><Relationship Id="rId18" Type="http://schemas.openxmlformats.org/officeDocument/2006/relationships/hyperlink" Target="https://www.aliexpress.com/w/wholesale-10uF-25V-0805-X5R-capacitor.html" TargetMode="External"/><Relationship Id="rId39" Type="http://schemas.openxmlformats.org/officeDocument/2006/relationships/hyperlink" Target="https://www.aliexpress.com/w/wholesale-USB4105-GF-A-USB-C.html" TargetMode="External"/><Relationship Id="rId109" Type="http://schemas.openxmlformats.org/officeDocument/2006/relationships/hyperlink" Target="https://prom.ua/ua/p3212257815-thinker-433-mgts.html" TargetMode="External"/><Relationship Id="rId34" Type="http://schemas.openxmlformats.org/officeDocument/2006/relationships/hyperlink" Target="https://catalog.vdmais.ua/uk/parasearch/?keyword=0466.250NRHF" TargetMode="External"/><Relationship Id="rId50" Type="http://schemas.openxmlformats.org/officeDocument/2006/relationships/hyperlink" Target="https://kosmodrom.ua/tranzistor-poloviy-mosfet/si2309cds-t1-ge3.html" TargetMode="External"/><Relationship Id="rId55" Type="http://schemas.openxmlformats.org/officeDocument/2006/relationships/hyperlink" Target="https://imrad.com.ua/ua/rc0603fr-0768kl-8" TargetMode="External"/><Relationship Id="rId76" Type="http://schemas.openxmlformats.org/officeDocument/2006/relationships/hyperlink" Target="https://catalog.vdmais.ua/uk/product/rt0603brd0710kl/1697301/" TargetMode="External"/><Relationship Id="rId97" Type="http://schemas.openxmlformats.org/officeDocument/2006/relationships/hyperlink" Target="https://imrad.com.ua/ua/esp32-s3-wroom-1-n16r8-8" TargetMode="External"/><Relationship Id="rId104" Type="http://schemas.openxmlformats.org/officeDocument/2006/relationships/hyperlink" Target="https://www.aliexpress.com/w/wholesale-USBLC6-2SC6.html" TargetMode="External"/><Relationship Id="rId120" Type="http://schemas.openxmlformats.org/officeDocument/2006/relationships/hyperlink" Target="https://www.rcscomponents.kiev.ua/product/hvynt-m3-plastykovyi-kls8-0318-pf-m3-06-head-type-a_158561.html" TargetMode="External"/><Relationship Id="rId125" Type="http://schemas.openxmlformats.org/officeDocument/2006/relationships/hyperlink" Target="https://prom.ua/ua/p3200661263-trimach-zapobizhnika-mini.html" TargetMode="External"/><Relationship Id="rId7" Type="http://schemas.openxmlformats.org/officeDocument/2006/relationships/hyperlink" Target="https://imrad.com.ua/ua/cl10b104kc8nnnc-3" TargetMode="External"/><Relationship Id="rId71" Type="http://schemas.openxmlformats.org/officeDocument/2006/relationships/hyperlink" Target="https://www.mini-tech.com.ua/ua/nabor-smd-rezistorov-0603-170" TargetMode="External"/><Relationship Id="rId92" Type="http://schemas.openxmlformats.org/officeDocument/2006/relationships/hyperlink" Target="https://kosmodrom.ua/smd-rezistor-2513/smd-rezistor-1206-10-kom-1-tochni.html" TargetMode="External"/><Relationship Id="rId2" Type="http://schemas.openxmlformats.org/officeDocument/2006/relationships/hyperlink" Target="https://kosmodrom.ua/kondensator-elektrolitichniy/eeefk2a220p-2.html" TargetMode="External"/><Relationship Id="rId29" Type="http://schemas.openxmlformats.org/officeDocument/2006/relationships/hyperlink" Target="https://kosmodrom.ua/tsq-search?q=KP-1608SURCK" TargetMode="External"/><Relationship Id="rId24" Type="http://schemas.openxmlformats.org/officeDocument/2006/relationships/hyperlink" Target="https://www.aliexpress.com/w/wholesale-SMAJ33A-TVS-diode-SMA-unidirectional.html" TargetMode="External"/><Relationship Id="rId40" Type="http://schemas.openxmlformats.org/officeDocument/2006/relationships/hyperlink" Target="https://imrad.com.ua/ua/b3b-xh-a-9" TargetMode="External"/><Relationship Id="rId45" Type="http://schemas.openxmlformats.org/officeDocument/2006/relationships/hyperlink" Target="https://www.aliexpress.com/w/wholesale-JST-XH-2.5mm-2P-vertical-header-B2B-XH-A.html" TargetMode="External"/><Relationship Id="rId66" Type="http://schemas.openxmlformats.org/officeDocument/2006/relationships/hyperlink" Target="https://www.aliexpress.com/w/wholesale-0603-resistor-10K-1%25.html" TargetMode="External"/><Relationship Id="rId87" Type="http://schemas.openxmlformats.org/officeDocument/2006/relationships/hyperlink" Target="https://www.aliexpress.com/w/wholesale-0603-resistor-100K-1%25.html" TargetMode="External"/><Relationship Id="rId110" Type="http://schemas.openxmlformats.org/officeDocument/2006/relationships/hyperlink" Target="https://www.aliexpress.com/w/wholesale-Ai-Thinker-Ra-02-SX1278-433MHz.html" TargetMode="External"/><Relationship Id="rId115" Type="http://schemas.openxmlformats.org/officeDocument/2006/relationships/hyperlink" Target="https://imrad.com.ua/ua/xhp-2-3" TargetMode="External"/><Relationship Id="rId61" Type="http://schemas.openxmlformats.org/officeDocument/2006/relationships/hyperlink" Target="https://imrad.com.ua/ua/rc0603fr-07220kl-8" TargetMode="External"/><Relationship Id="rId82" Type="http://schemas.openxmlformats.org/officeDocument/2006/relationships/hyperlink" Target="https://imrad.com.ua/ua/smd0603-4k7-1--2" TargetMode="External"/><Relationship Id="rId19" Type="http://schemas.openxmlformats.org/officeDocument/2006/relationships/hyperlink" Target="https://imrad.com.ua/ua/b1100-13-f-9" TargetMode="External"/><Relationship Id="rId14" Type="http://schemas.openxmlformats.org/officeDocument/2006/relationships/hyperlink" Target="https://kosmodrom.ua/tsq-search?q=GRM21BR61E226ME44L" TargetMode="External"/><Relationship Id="rId30" Type="http://schemas.openxmlformats.org/officeDocument/2006/relationships/hyperlink" Target="https://www.aliexpress.com/w/wholesale-KP-1608SURCK-0603-red-LED.html" TargetMode="External"/><Relationship Id="rId35" Type="http://schemas.openxmlformats.org/officeDocument/2006/relationships/hyperlink" Target="https://kosmodrom.ua/tsq-search?q=0466.250NRHF" TargetMode="External"/><Relationship Id="rId56" Type="http://schemas.openxmlformats.org/officeDocument/2006/relationships/hyperlink" Target="https://www.mini-tech.com.ua/ua/nabor-smd-rezistorov-0603-170" TargetMode="External"/><Relationship Id="rId77" Type="http://schemas.openxmlformats.org/officeDocument/2006/relationships/hyperlink" Target="https://kosmodrom.ua/tsq-search?q=RT0603BRD0710KL" TargetMode="External"/><Relationship Id="rId100" Type="http://schemas.openxmlformats.org/officeDocument/2006/relationships/hyperlink" Target="https://imrad.com.ua/ua/tps3808g33dbvr-4" TargetMode="External"/><Relationship Id="rId105" Type="http://schemas.openxmlformats.org/officeDocument/2006/relationships/hyperlink" Target="https://catalog.vdmais.ua/uk/product/ads1115idgsr/1745986/" TargetMode="External"/><Relationship Id="rId126" Type="http://schemas.openxmlformats.org/officeDocument/2006/relationships/hyperlink" Target="https://www.rcscomponents.kiev.ua/product/zapobizhnyk-avtomobilnyi-minival-2a-amfm-2a_168879.html" TargetMode="External"/><Relationship Id="rId8" Type="http://schemas.openxmlformats.org/officeDocument/2006/relationships/hyperlink" Target="https://kosmodrom.ua/tsq-search?q=CL10B104KC8NNNC" TargetMode="External"/><Relationship Id="rId51" Type="http://schemas.openxmlformats.org/officeDocument/2006/relationships/hyperlink" Target="https://www.aliexpress.com/w/wholesale-SI2309CDS-SOT-23.html" TargetMode="External"/><Relationship Id="rId72" Type="http://schemas.openxmlformats.org/officeDocument/2006/relationships/hyperlink" Target="https://www.aliexpress.com/w/wholesale-0603-resistor-22R.html" TargetMode="External"/><Relationship Id="rId93" Type="http://schemas.openxmlformats.org/officeDocument/2006/relationships/hyperlink" Target="https://www.aliexpress.com/w/wholesale-1206-resistor-10K-1%25.html" TargetMode="External"/><Relationship Id="rId98" Type="http://schemas.openxmlformats.org/officeDocument/2006/relationships/hyperlink" Target="https://www.aliexpress.com/w/wholesale-ESP32-S3-WROOM-1-N16R8.html" TargetMode="External"/><Relationship Id="rId121" Type="http://schemas.openxmlformats.org/officeDocument/2006/relationships/hyperlink" Target="https://kosmodrom.ua/gvint-kripilniy/gvint-plastikoviy-polukrugla-golovka-pid-krest-m3-6-100pcs-2.html" TargetMode="External"/><Relationship Id="rId3" Type="http://schemas.openxmlformats.org/officeDocument/2006/relationships/hyperlink" Target="https://www.aliexpress.com/w/wholesale-EEE-FK2A220P-22uF-100V-SMD.html" TargetMode="External"/><Relationship Id="rId25" Type="http://schemas.openxmlformats.org/officeDocument/2006/relationships/hyperlink" Target="https://imrad.com.ua/ua/ltst-c191kgkt-4" TargetMode="External"/><Relationship Id="rId46" Type="http://schemas.openxmlformats.org/officeDocument/2006/relationships/hyperlink" Target="https://catalog.vdmais.ua/uk/product/srn6045-220m/1628266/" TargetMode="External"/><Relationship Id="rId67" Type="http://schemas.openxmlformats.org/officeDocument/2006/relationships/hyperlink" Target="https://imrad.com.ua/ua/rc0603fr-075k1l-4" TargetMode="External"/><Relationship Id="rId116" Type="http://schemas.openxmlformats.org/officeDocument/2006/relationships/hyperlink" Target="https://kosmodrom.ua/roz-39-yem-ns25-2-54-mm/sxh-001t-p0-6-2.html" TargetMode="External"/><Relationship Id="rId20" Type="http://schemas.openxmlformats.org/officeDocument/2006/relationships/hyperlink" Target="https://kosmodrom.ua/diod-shottki-2/b1100-13-f.html" TargetMode="External"/><Relationship Id="rId41" Type="http://schemas.openxmlformats.org/officeDocument/2006/relationships/hyperlink" Target="https://catalog.vdmais.ua/uk/product/b3b-xh-a-%28lf%29%28sn%29/1418386/" TargetMode="External"/><Relationship Id="rId62" Type="http://schemas.openxmlformats.org/officeDocument/2006/relationships/hyperlink" Target="https://www.mini-tech.com.ua/ua/nabor-smd-rezistorov-0603-170" TargetMode="External"/><Relationship Id="rId83" Type="http://schemas.openxmlformats.org/officeDocument/2006/relationships/hyperlink" Target="https://www.mini-tech.com.ua/ua/nabor-smd-rezistorov-0603-170" TargetMode="External"/><Relationship Id="rId88" Type="http://schemas.openxmlformats.org/officeDocument/2006/relationships/hyperlink" Target="https://imrad.com.ua/ua/rc2512jk-074r7l-2" TargetMode="External"/><Relationship Id="rId111" Type="http://schemas.openxmlformats.org/officeDocument/2006/relationships/hyperlink" Target="https://www.mini-tech.com.ua/ua/nabor-smd-rezistorov-0603-170" TargetMode="External"/><Relationship Id="rId15" Type="http://schemas.openxmlformats.org/officeDocument/2006/relationships/hyperlink" Target="https://www.aliexpress.com/w/wholesale-22uF-25V-0805-X5R-capacitor.html" TargetMode="External"/><Relationship Id="rId36" Type="http://schemas.openxmlformats.org/officeDocument/2006/relationships/hyperlink" Target="https://www.aliexpress.com/w/wholesale-0466.250-fuse-1206-250mA.html" TargetMode="External"/><Relationship Id="rId57" Type="http://schemas.openxmlformats.org/officeDocument/2006/relationships/hyperlink" Target="https://www.aliexpress.com/w/wholesale-0603-resistor-68K-1%25.html" TargetMode="External"/><Relationship Id="rId106" Type="http://schemas.openxmlformats.org/officeDocument/2006/relationships/hyperlink" Target="https://imrad.com.ua/ua/ads1115idgsr-3" TargetMode="External"/><Relationship Id="rId127" Type="http://schemas.openxmlformats.org/officeDocument/2006/relationships/hyperlink" Target="https://prom.ua/ua/p2073082340-predohranitel-elektricheskij-plavkij.html" TargetMode="External"/><Relationship Id="rId10" Type="http://schemas.openxmlformats.org/officeDocument/2006/relationships/hyperlink" Target="https://imrad.com.ua/ua/cl10b104kb8nnnc-8" TargetMode="External"/><Relationship Id="rId31" Type="http://schemas.openxmlformats.org/officeDocument/2006/relationships/hyperlink" Target="https://imrad.com.ua/ua/0451002-mrl-2" TargetMode="External"/><Relationship Id="rId52" Type="http://schemas.openxmlformats.org/officeDocument/2006/relationships/hyperlink" Target="https://imrad.com.ua/ua/mmbt5551lt1g-3" TargetMode="External"/><Relationship Id="rId73" Type="http://schemas.openxmlformats.org/officeDocument/2006/relationships/hyperlink" Target="https://imrad.com.ua/ua/era6aeb224v-6" TargetMode="External"/><Relationship Id="rId78" Type="http://schemas.openxmlformats.org/officeDocument/2006/relationships/hyperlink" Target="https://www.aliexpress.com/w/wholesale-RT0603BRD0710KL-10K-0.1%25-0603.html" TargetMode="External"/><Relationship Id="rId94" Type="http://schemas.openxmlformats.org/officeDocument/2006/relationships/hyperlink" Target="https://catalog.vdmais.ua/uk/parasearch/?keyword=LMR38010SQDDARQ1" TargetMode="External"/><Relationship Id="rId99" Type="http://schemas.openxmlformats.org/officeDocument/2006/relationships/hyperlink" Target="https://catalog.vdmais.ua/uk/product/tps3808g33dbvr/1716171/" TargetMode="External"/><Relationship Id="rId101" Type="http://schemas.openxmlformats.org/officeDocument/2006/relationships/hyperlink" Target="https://www.aliexpress.com/w/wholesale-TPS3808G33DBVR.html" TargetMode="External"/><Relationship Id="rId122" Type="http://schemas.openxmlformats.org/officeDocument/2006/relationships/hyperlink" Target="https://www.rcscomponents.kiev.ua/product/shaiba-ws3-1-5_198596.html" TargetMode="External"/><Relationship Id="rId4" Type="http://schemas.openxmlformats.org/officeDocument/2006/relationships/hyperlink" Target="https://imrad.com.ua/ua/grm32ec72a106ke05l-2" TargetMode="External"/><Relationship Id="rId9" Type="http://schemas.openxmlformats.org/officeDocument/2006/relationships/hyperlink" Target="https://www.aliexpress.com/w/wholesale-100nF-100V-0603-X7R-capaci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4"/>
  <sheetViews>
    <sheetView tabSelected="1" zoomScale="90" workbookViewId="0"/>
  </sheetViews>
  <sheetFormatPr defaultRowHeight="14.4" x14ac:dyDescent="0.3"/>
  <cols>
    <col min="1" max="1" width="3" customWidth="1"/>
    <col min="2" max="2" width="46" customWidth="1"/>
    <col min="3" max="4" width="16" customWidth="1"/>
    <col min="5" max="5" width="64" customWidth="1"/>
  </cols>
  <sheetData>
    <row r="1" spans="2:5" ht="17.399999999999999" x14ac:dyDescent="0.3">
      <c r="B1" s="1" t="s">
        <v>0</v>
      </c>
    </row>
    <row r="2" spans="2:5" ht="45" customHeight="1" x14ac:dyDescent="0.3">
      <c r="B2" s="37" t="s">
        <v>1</v>
      </c>
      <c r="C2" s="38"/>
      <c r="D2" s="38"/>
      <c r="E2" s="38"/>
    </row>
    <row r="4" spans="2:5" ht="26.4" x14ac:dyDescent="0.3">
      <c r="B4" s="2" t="s">
        <v>2</v>
      </c>
    </row>
    <row r="5" spans="2:5" ht="26.4" x14ac:dyDescent="0.3">
      <c r="B5" s="3" t="s">
        <v>3</v>
      </c>
      <c r="C5" s="4">
        <v>5</v>
      </c>
      <c r="E5" s="3" t="s">
        <v>4</v>
      </c>
    </row>
    <row r="6" spans="2:5" ht="26.4" x14ac:dyDescent="0.3">
      <c r="B6" s="3" t="s">
        <v>5</v>
      </c>
      <c r="C6" s="5">
        <v>0.2</v>
      </c>
      <c r="E6" s="3" t="s">
        <v>6</v>
      </c>
    </row>
    <row r="8" spans="2:5" ht="26.4" x14ac:dyDescent="0.3">
      <c r="B8" s="6" t="s">
        <v>7</v>
      </c>
      <c r="C8" s="6" t="s">
        <v>8</v>
      </c>
      <c r="D8" s="6" t="s">
        <v>9</v>
      </c>
      <c r="E8" s="6" t="s">
        <v>10</v>
      </c>
    </row>
    <row r="9" spans="2:5" x14ac:dyDescent="0.3">
      <c r="B9" s="3" t="s">
        <v>11</v>
      </c>
      <c r="C9" s="5">
        <v>0.2</v>
      </c>
      <c r="D9" s="4">
        <v>3</v>
      </c>
      <c r="E9" s="3" t="s">
        <v>12</v>
      </c>
    </row>
    <row r="10" spans="2:5" x14ac:dyDescent="0.3">
      <c r="B10" s="3" t="s">
        <v>13</v>
      </c>
      <c r="C10" s="5">
        <v>0</v>
      </c>
      <c r="D10" s="4">
        <v>1</v>
      </c>
      <c r="E10" s="3" t="s">
        <v>14</v>
      </c>
    </row>
    <row r="11" spans="2:5" x14ac:dyDescent="0.3">
      <c r="B11" s="3" t="s">
        <v>15</v>
      </c>
      <c r="C11" s="5">
        <v>0</v>
      </c>
      <c r="D11" s="4">
        <v>1</v>
      </c>
      <c r="E11" s="3" t="s">
        <v>16</v>
      </c>
    </row>
    <row r="12" spans="2:5" x14ac:dyDescent="0.3">
      <c r="B12" s="3" t="s">
        <v>17</v>
      </c>
      <c r="C12" s="5">
        <v>0</v>
      </c>
      <c r="D12" s="4">
        <v>0</v>
      </c>
      <c r="E12" s="3" t="s">
        <v>18</v>
      </c>
    </row>
    <row r="13" spans="2:5" x14ac:dyDescent="0.3">
      <c r="B13" s="3" t="s">
        <v>19</v>
      </c>
      <c r="C13" s="5">
        <v>0</v>
      </c>
      <c r="D13" s="4">
        <v>0</v>
      </c>
      <c r="E13" s="3" t="s">
        <v>20</v>
      </c>
    </row>
    <row r="15" spans="2:5" x14ac:dyDescent="0.3">
      <c r="B15" s="2" t="s">
        <v>21</v>
      </c>
    </row>
    <row r="16" spans="2:5" x14ac:dyDescent="0.3">
      <c r="B16" s="3" t="s">
        <v>22</v>
      </c>
      <c r="C16" s="7">
        <f>Плата!S45</f>
        <v>8328.7639999999974</v>
      </c>
    </row>
    <row r="17" spans="2:5" x14ac:dyDescent="0.3">
      <c r="B17" s="3" t="s">
        <v>23</v>
      </c>
      <c r="C17" s="7">
        <f>Набори!L6</f>
        <v>0</v>
      </c>
    </row>
    <row r="18" spans="2:5" ht="26.4" x14ac:dyDescent="0.3">
      <c r="B18" s="3" t="s">
        <v>24</v>
      </c>
      <c r="C18" s="7">
        <f>'Поза платою'!R14</f>
        <v>808.55999999999983</v>
      </c>
    </row>
    <row r="19" spans="2:5" x14ac:dyDescent="0.3">
      <c r="B19" s="8" t="s">
        <v>25</v>
      </c>
      <c r="C19" s="7">
        <f>C16+C17+C18</f>
        <v>9137.3239999999969</v>
      </c>
    </row>
    <row r="20" spans="2:5" x14ac:dyDescent="0.3">
      <c r="B20" s="3" t="s">
        <v>26</v>
      </c>
      <c r="C20" s="9">
        <f>Плата!S46</f>
        <v>0</v>
      </c>
    </row>
    <row r="21" spans="2:5" x14ac:dyDescent="0.3">
      <c r="B21" s="3" t="s">
        <v>27</v>
      </c>
      <c r="C21" s="9">
        <f>COUNTIFS(Плата!$Q$6:$Q$44,"в наявності",Плата!$L$6:$L$44,"&gt;0")</f>
        <v>33</v>
      </c>
    </row>
    <row r="22" spans="2:5" ht="26.4" x14ac:dyDescent="0.3">
      <c r="B22" s="3" t="s">
        <v>28</v>
      </c>
      <c r="C22" s="9">
        <f>COUNTIFS(Плата!$Q$6:$Q$44,"під замовлення",Плата!$L$6:$L$44,"&gt;0")</f>
        <v>2</v>
      </c>
    </row>
    <row r="23" spans="2:5" x14ac:dyDescent="0.3">
      <c r="B23" s="3" t="s">
        <v>29</v>
      </c>
      <c r="C23" s="9">
        <f>COUNTIFS(Плата!$Q$6:$Q$44,"немає*",Плата!$L$6:$L$44,"&gt;0")</f>
        <v>0</v>
      </c>
    </row>
    <row r="24" spans="2:5" x14ac:dyDescent="0.3">
      <c r="B24" s="3" t="s">
        <v>30</v>
      </c>
      <c r="C24" s="9">
        <f>COUNTIF(Плата!$Q$6:$Q$44,"набору мало*")</f>
        <v>0</v>
      </c>
    </row>
    <row r="26" spans="2:5" x14ac:dyDescent="0.3">
      <c r="B26" s="2" t="s">
        <v>31</v>
      </c>
    </row>
    <row r="27" spans="2:5" ht="31.95" customHeight="1" x14ac:dyDescent="0.3">
      <c r="B27" s="33" t="s">
        <v>32</v>
      </c>
      <c r="C27" s="34"/>
      <c r="D27" s="34"/>
      <c r="E27" s="35"/>
    </row>
    <row r="28" spans="2:5" ht="31.95" customHeight="1" x14ac:dyDescent="0.3">
      <c r="B28" s="33" t="s">
        <v>33</v>
      </c>
      <c r="C28" s="34"/>
      <c r="D28" s="34"/>
      <c r="E28" s="35"/>
    </row>
    <row r="29" spans="2:5" ht="31.95" customHeight="1" x14ac:dyDescent="0.3">
      <c r="B29" s="33" t="s">
        <v>34</v>
      </c>
      <c r="C29" s="34"/>
      <c r="D29" s="34"/>
      <c r="E29" s="35"/>
    </row>
    <row r="30" spans="2:5" ht="31.95" customHeight="1" x14ac:dyDescent="0.3">
      <c r="B30" s="33" t="s">
        <v>35</v>
      </c>
      <c r="C30" s="34"/>
      <c r="D30" s="34"/>
      <c r="E30" s="35"/>
    </row>
    <row r="31" spans="2:5" ht="31.95" customHeight="1" x14ac:dyDescent="0.3">
      <c r="B31" s="33" t="s">
        <v>36</v>
      </c>
      <c r="C31" s="34"/>
      <c r="D31" s="34"/>
      <c r="E31" s="35"/>
    </row>
    <row r="33" spans="2:5" x14ac:dyDescent="0.3">
      <c r="B33" s="2" t="s">
        <v>37</v>
      </c>
    </row>
    <row r="34" spans="2:5" ht="45" customHeight="1" x14ac:dyDescent="0.3">
      <c r="B34" s="36" t="s">
        <v>38</v>
      </c>
      <c r="C34" s="34"/>
      <c r="D34" s="34"/>
      <c r="E34" s="35"/>
    </row>
    <row r="35" spans="2:5" ht="45" customHeight="1" x14ac:dyDescent="0.3">
      <c r="B35" s="36" t="s">
        <v>39</v>
      </c>
      <c r="C35" s="34"/>
      <c r="D35" s="34"/>
      <c r="E35" s="35"/>
    </row>
    <row r="36" spans="2:5" ht="45" customHeight="1" x14ac:dyDescent="0.3">
      <c r="B36" s="36" t="s">
        <v>40</v>
      </c>
      <c r="C36" s="34"/>
      <c r="D36" s="34"/>
      <c r="E36" s="35"/>
    </row>
    <row r="37" spans="2:5" ht="45" customHeight="1" x14ac:dyDescent="0.3">
      <c r="B37" s="36" t="s">
        <v>41</v>
      </c>
      <c r="C37" s="34"/>
      <c r="D37" s="34"/>
      <c r="E37" s="35"/>
    </row>
    <row r="38" spans="2:5" ht="45" customHeight="1" x14ac:dyDescent="0.3">
      <c r="B38" s="36" t="s">
        <v>42</v>
      </c>
      <c r="C38" s="34"/>
      <c r="D38" s="34"/>
      <c r="E38" s="35"/>
    </row>
    <row r="39" spans="2:5" ht="45" customHeight="1" x14ac:dyDescent="0.3">
      <c r="B39" s="36" t="s">
        <v>43</v>
      </c>
      <c r="C39" s="34"/>
      <c r="D39" s="34"/>
      <c r="E39" s="35"/>
    </row>
    <row r="40" spans="2:5" ht="30" customHeight="1" x14ac:dyDescent="0.3">
      <c r="B40" s="36" t="s">
        <v>44</v>
      </c>
      <c r="C40" s="34"/>
      <c r="D40" s="34"/>
      <c r="E40" s="35"/>
    </row>
    <row r="41" spans="2:5" ht="30" customHeight="1" x14ac:dyDescent="0.3">
      <c r="B41" s="36" t="s">
        <v>45</v>
      </c>
      <c r="C41" s="34"/>
      <c r="D41" s="34"/>
      <c r="E41" s="35"/>
    </row>
    <row r="42" spans="2:5" ht="30" customHeight="1" x14ac:dyDescent="0.3">
      <c r="B42" s="36" t="s">
        <v>46</v>
      </c>
      <c r="C42" s="34"/>
      <c r="D42" s="34"/>
      <c r="E42" s="35"/>
    </row>
    <row r="43" spans="2:5" ht="30" customHeight="1" x14ac:dyDescent="0.3">
      <c r="B43" s="36" t="s">
        <v>47</v>
      </c>
      <c r="C43" s="34"/>
      <c r="D43" s="34"/>
      <c r="E43" s="35"/>
    </row>
    <row r="44" spans="2:5" ht="60" customHeight="1" x14ac:dyDescent="0.3">
      <c r="B44" s="36" t="s">
        <v>48</v>
      </c>
      <c r="C44" s="34"/>
      <c r="D44" s="34"/>
      <c r="E44" s="35"/>
    </row>
  </sheetData>
  <mergeCells count="17">
    <mergeCell ref="B44:E44"/>
    <mergeCell ref="B29:E29"/>
    <mergeCell ref="B39:E39"/>
    <mergeCell ref="B2:E2"/>
    <mergeCell ref="B34:E34"/>
    <mergeCell ref="B28:E28"/>
    <mergeCell ref="B36:E36"/>
    <mergeCell ref="B43:E43"/>
    <mergeCell ref="B37:E37"/>
    <mergeCell ref="B42:E42"/>
    <mergeCell ref="B30:E30"/>
    <mergeCell ref="B38:E38"/>
    <mergeCell ref="B31:E31"/>
    <mergeCell ref="B40:E40"/>
    <mergeCell ref="B27:E27"/>
    <mergeCell ref="B41:E41"/>
    <mergeCell ref="B35:E3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2"/>
  <sheetViews>
    <sheetView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3" width="40" customWidth="1"/>
    <col min="4" max="4" width="9" customWidth="1"/>
    <col min="5" max="5" width="8" customWidth="1"/>
    <col min="6" max="6" width="10" customWidth="1"/>
    <col min="7" max="7" width="11" customWidth="1"/>
    <col min="8" max="8" width="13" customWidth="1"/>
    <col min="9" max="9" width="10" customWidth="1"/>
    <col min="10" max="10" width="40" customWidth="1"/>
    <col min="11" max="11" width="8" hidden="1" customWidth="1"/>
    <col min="12" max="12" width="6" hidden="1" customWidth="1"/>
  </cols>
  <sheetData>
    <row r="1" spans="1:12" ht="19.95" customHeight="1" x14ac:dyDescent="0.3">
      <c r="A1" s="39" t="s">
        <v>49</v>
      </c>
      <c r="B1" s="38"/>
      <c r="C1" s="38"/>
      <c r="D1" s="38"/>
      <c r="E1" s="38"/>
      <c r="F1" s="38"/>
      <c r="G1" s="38"/>
      <c r="H1" s="38"/>
      <c r="I1" s="38"/>
      <c r="J1" s="38"/>
    </row>
    <row r="2" spans="1:12" ht="31.95" customHeight="1" x14ac:dyDescent="0.3">
      <c r="A2" s="40" t="s">
        <v>50</v>
      </c>
      <c r="B2" s="38"/>
      <c r="C2" s="38"/>
      <c r="D2" s="38"/>
      <c r="E2" s="38"/>
      <c r="F2" s="38"/>
      <c r="G2" s="38"/>
      <c r="H2" s="38"/>
      <c r="I2" s="38"/>
      <c r="J2" s="38"/>
    </row>
    <row r="3" spans="1:12" x14ac:dyDescent="0.3">
      <c r="A3" s="2" t="s">
        <v>51</v>
      </c>
    </row>
    <row r="4" spans="1:12" ht="30" customHeight="1" x14ac:dyDescent="0.3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</row>
    <row r="5" spans="1:12" x14ac:dyDescent="0.3">
      <c r="A5" s="8" t="str">
        <f>IF($L5="","",INDEX(Плата!$O:$O,$L5)&amp;"")</f>
        <v>IMRAD</v>
      </c>
      <c r="B5" s="3" t="str">
        <f>IF($L5="","",INDEX(Плата!$B:$B,$L5)&amp;"")</f>
        <v>C101</v>
      </c>
      <c r="C5" s="3" t="str">
        <f>IF($L5="","",INDEX(Плата!$P:$P,$L5)&amp;"")</f>
        <v>Panasonic EEEFK2A220P (точний MPN)</v>
      </c>
      <c r="D5" s="10">
        <f>IF($L5="","",INDEX(Плата!$L:$L,$L5))</f>
        <v>10</v>
      </c>
      <c r="E5" s="11" t="str">
        <f>IF($L5="","",INDEX(Плата!$G:$G,$L5)&amp;"")</f>
        <v>шт</v>
      </c>
      <c r="F5" s="12">
        <f>IF($L5="","",INDEX(Плата!$R:$R,$L5))</f>
        <v>14.82</v>
      </c>
      <c r="G5" s="13">
        <f>IF($L5="","",INDEX(Плата!$S:$S,$L5))</f>
        <v>148.19999999999999</v>
      </c>
      <c r="H5" s="11" t="str">
        <f>IF($L5="","",INDEX(Плата!$Q:$Q,$L5)&amp;"")</f>
        <v>в наявності</v>
      </c>
      <c r="I5" s="14" t="str">
        <f>IF($L5="","",IF(INDEX(Плата!$AI:$AI,$L5)="","",HYPERLINK(INDEX(Плата!$AI:$AI,$L5),"відкрити")))</f>
        <v>відкрити</v>
      </c>
      <c r="J5" s="3" t="str">
        <f>IF($L5="","",INDEX(Плата!$U:$U,$L5)&amp;"")</f>
        <v>IMRAD: «Є в наявності, на складі» (кількість не показано); ціна від 6 шт (1 шт: 16.13, від 15: 13.69, від 70: 12.38)</v>
      </c>
      <c r="K5" s="11">
        <f>IFERROR(SMALL(Плата!$AJ$6:$AJ$44,1),"")</f>
        <v>1006</v>
      </c>
      <c r="L5" s="11">
        <f t="shared" ref="L5:L43" si="0">IF(K5="","",MOD(K5,1000))</f>
        <v>6</v>
      </c>
    </row>
    <row r="6" spans="1:12" x14ac:dyDescent="0.3">
      <c r="A6" s="8" t="str">
        <f>IF($L6="","",INDEX(Плата!$O:$O,$L6)&amp;"")</f>
        <v>IMRAD</v>
      </c>
      <c r="B6" s="3" t="str">
        <f>IF($L6="","",INDEX(Плата!$B:$B,$L6)&amp;"")</f>
        <v>C102</v>
      </c>
      <c r="C6" s="3" t="str">
        <f>IF($L6="","",INDEX(Плата!$P:$P,$L6)&amp;"")</f>
        <v>Murata GRM32EC72A106KE05L (точний MPN)</v>
      </c>
      <c r="D6" s="10">
        <f>IF($L6="","",INDEX(Плата!$L:$L,$L6))</f>
        <v>10</v>
      </c>
      <c r="E6" s="11" t="str">
        <f>IF($L6="","",INDEX(Плата!$G:$G,$L6)&amp;"")</f>
        <v>шт</v>
      </c>
      <c r="F6" s="12">
        <f>IF($L6="","",INDEX(Плата!$R:$R,$L6))</f>
        <v>32.06</v>
      </c>
      <c r="G6" s="13">
        <f>IF($L6="","",INDEX(Плата!$S:$S,$L6))</f>
        <v>320.60000000000002</v>
      </c>
      <c r="H6" s="11" t="str">
        <f>IF($L6="","",INDEX(Плата!$Q:$Q,$L6)&amp;"")</f>
        <v>в наявності</v>
      </c>
      <c r="I6" s="14" t="str">
        <f>IF($L6="","",IF(INDEX(Плата!$AI:$AI,$L6)="","",HYPERLINK(INDEX(Плата!$AI:$AI,$L6),"відкрити")))</f>
        <v>відкрити</v>
      </c>
      <c r="J6" s="3" t="str">
        <f>IF($L6="","",INDEX(Плата!$U:$U,$L6)&amp;"")</f>
        <v>IMRAD: «Є в наявності, на складі» (кількість не показано); ціна від 5 шт (1 шт: 36.53)</v>
      </c>
      <c r="K6" s="11">
        <f>IFERROR(SMALL(Плата!$AJ$6:$AJ$44,2),"")</f>
        <v>1007</v>
      </c>
      <c r="L6" s="11">
        <f t="shared" si="0"/>
        <v>7</v>
      </c>
    </row>
    <row r="7" spans="1:12" x14ac:dyDescent="0.3">
      <c r="A7" s="8" t="str">
        <f>IF($L7="","",INDEX(Плата!$O:$O,$L7)&amp;"")</f>
        <v>IMRAD</v>
      </c>
      <c r="B7" s="3" t="str">
        <f>IF($L7="","",INDEX(Плата!$B:$B,$L7)&amp;"")</f>
        <v>C103</v>
      </c>
      <c r="C7" s="3" t="str">
        <f>IF($L7="","",INDEX(Плата!$P:$P,$L7)&amp;"")</f>
        <v>Samsung CL10B104KC8NNNC (100 нФ X7R 100 В 0603, точний MPN)</v>
      </c>
      <c r="D7" s="10">
        <f>IF($L7="","",INDEX(Плата!$L:$L,$L7))</f>
        <v>100</v>
      </c>
      <c r="E7" s="11" t="str">
        <f>IF($L7="","",INDEX(Плата!$G:$G,$L7)&amp;"")</f>
        <v>шт</v>
      </c>
      <c r="F7" s="12">
        <f>IF($L7="","",INDEX(Плата!$R:$R,$L7))</f>
        <v>0.94</v>
      </c>
      <c r="G7" s="13">
        <f>IF($L7="","",INDEX(Плата!$S:$S,$L7))</f>
        <v>94</v>
      </c>
      <c r="H7" s="11" t="str">
        <f>IF($L7="","",INDEX(Плата!$Q:$Q,$L7)&amp;"")</f>
        <v>в наявності</v>
      </c>
      <c r="I7" s="14" t="str">
        <f>IF($L7="","",IF(INDEX(Плата!$AI:$AI,$L7)="","",HYPERLINK(INDEX(Плата!$AI:$AI,$L7),"відкрити")))</f>
        <v>відкрити</v>
      </c>
      <c r="J7" s="3" t="str">
        <f>IF($L7="","",INDEX(Плата!$U:$U,$L7)&amp;"")</f>
        <v>IMRAD: «Є в наявності, на складі» (кількість не показано); ціна від 100 шт (1 шт: 1.65, від 10: 1.02)</v>
      </c>
      <c r="K7" s="11">
        <f>IFERROR(SMALL(Плата!$AJ$6:$AJ$44,3),"")</f>
        <v>1008</v>
      </c>
      <c r="L7" s="11">
        <f t="shared" si="0"/>
        <v>8</v>
      </c>
    </row>
    <row r="8" spans="1:12" x14ac:dyDescent="0.3">
      <c r="A8" s="8" t="str">
        <f>IF($L8="","",INDEX(Плата!$O:$O,$L8)&amp;"")</f>
        <v>IMRAD</v>
      </c>
      <c r="B8" s="3" t="str">
        <f>IF($L8="","",INDEX(Плата!$B:$B,$L8)&amp;"")</f>
        <v>C104, C202-C205, C301, C302, C402</v>
      </c>
      <c r="C8" s="3" t="str">
        <f>IF($L8="","",INDEX(Плата!$P:$P,$L8)&amp;"")</f>
        <v>Samsung CL10B104KB8NNNC (100 нФ X7R 50 В 0603, точний MPN)</v>
      </c>
      <c r="D8" s="10">
        <f>IF($L8="","",INDEX(Плата!$L:$L,$L8))</f>
        <v>100</v>
      </c>
      <c r="E8" s="11" t="str">
        <f>IF($L8="","",INDEX(Плата!$G:$G,$L8)&amp;"")</f>
        <v>шт</v>
      </c>
      <c r="F8" s="12">
        <f>IF($L8="","",INDEX(Плата!$R:$R,$L8))</f>
        <v>0.67</v>
      </c>
      <c r="G8" s="13">
        <f>IF($L8="","",INDEX(Плата!$S:$S,$L8))</f>
        <v>67</v>
      </c>
      <c r="H8" s="11" t="str">
        <f>IF($L8="","",INDEX(Плата!$Q:$Q,$L8)&amp;"")</f>
        <v>в наявності</v>
      </c>
      <c r="I8" s="14" t="str">
        <f>IF($L8="","",IF(INDEX(Плата!$AI:$AI,$L8)="","",HYPERLINK(INDEX(Плата!$AI:$AI,$L8),"відкрити")))</f>
        <v>відкрити</v>
      </c>
      <c r="J8" s="3" t="str">
        <f>IF($L8="","",INDEX(Плата!$U:$U,$L8)&amp;"")</f>
        <v>IMRAD: «Є в наявності, на складі» (кількість не показано); ціна від 100 шт (1 шт: 1.65, від 10: 0.72, від 500: 0.63)</v>
      </c>
      <c r="K8" s="11">
        <f>IFERROR(SMALL(Плата!$AJ$6:$AJ$44,4),"")</f>
        <v>1009</v>
      </c>
      <c r="L8" s="11">
        <f t="shared" si="0"/>
        <v>9</v>
      </c>
    </row>
    <row r="9" spans="1:12" x14ac:dyDescent="0.3">
      <c r="A9" s="8" t="str">
        <f>IF($L9="","",INDEX(Плата!$O:$O,$L9)&amp;"")</f>
        <v>IMRAD</v>
      </c>
      <c r="B9" s="3" t="str">
        <f>IF($L9="","",INDEX(Плата!$B:$B,$L9)&amp;"")</f>
        <v>C105-C107, C201</v>
      </c>
      <c r="C9" s="3" t="str">
        <f>IF($L9="","",INDEX(Плата!$P:$P,$L9)&amp;"")</f>
        <v>Murata GRM21BR61E226ME44L (точний MPN)</v>
      </c>
      <c r="D9" s="10">
        <f>IF($L9="","",INDEX(Плата!$L:$L,$L9))</f>
        <v>50</v>
      </c>
      <c r="E9" s="11" t="str">
        <f>IF($L9="","",INDEX(Плата!$G:$G,$L9)&amp;"")</f>
        <v>шт</v>
      </c>
      <c r="F9" s="12">
        <f>IF($L9="","",INDEX(Плата!$R:$R,$L9))</f>
        <v>12.04</v>
      </c>
      <c r="G9" s="13">
        <f>IF($L9="","",INDEX(Плата!$S:$S,$L9))</f>
        <v>602</v>
      </c>
      <c r="H9" s="11" t="str">
        <f>IF($L9="","",INDEX(Плата!$Q:$Q,$L9)&amp;"")</f>
        <v>в наявності</v>
      </c>
      <c r="I9" s="14" t="str">
        <f>IF($L9="","",IF(INDEX(Плата!$AI:$AI,$L9)="","",HYPERLINK(INDEX(Плата!$AI:$AI,$L9),"відкрити")))</f>
        <v>відкрити</v>
      </c>
      <c r="J9" s="3" t="str">
        <f>IF($L9="","",INDEX(Плата!$U:$U,$L9)&amp;"")</f>
        <v>IMRAD: «Є в наявності, на складі» (кількість не показано); ціна від 10 шт (1 шт: 13.42, від 100: 11.21). «Купити щонайменше» 50 задано, коли ціна була 2.96 грн: потреба 5 плат = 24 шт</v>
      </c>
      <c r="K9" s="11">
        <f>IFERROR(SMALL(Плата!$AJ$6:$AJ$44,5),"")</f>
        <v>1010</v>
      </c>
      <c r="L9" s="11">
        <f t="shared" si="0"/>
        <v>10</v>
      </c>
    </row>
    <row r="10" spans="1:12" x14ac:dyDescent="0.3">
      <c r="A10" s="8" t="str">
        <f>IF($L10="","",INDEX(Плата!$O:$O,$L10)&amp;"")</f>
        <v>IMRAD</v>
      </c>
      <c r="B10" s="3" t="str">
        <f>IF($L10="","",INDEX(Плата!$B:$B,$L10)&amp;"")</f>
        <v>C401</v>
      </c>
      <c r="C10" s="3" t="str">
        <f>IF($L10="","",INDEX(Плата!$P:$P,$L10)&amp;"")</f>
        <v>Samsung CL21A106KAYNNNE (точний MPN)</v>
      </c>
      <c r="D10" s="10">
        <f>IF($L10="","",INDEX(Плата!$L:$L,$L10))</f>
        <v>20</v>
      </c>
      <c r="E10" s="11" t="str">
        <f>IF($L10="","",INDEX(Плата!$G:$G,$L10)&amp;"")</f>
        <v>шт</v>
      </c>
      <c r="F10" s="12">
        <f>IF($L10="","",INDEX(Плата!$R:$R,$L10))</f>
        <v>3.41</v>
      </c>
      <c r="G10" s="13">
        <f>IF($L10="","",INDEX(Плата!$S:$S,$L10))</f>
        <v>68.2</v>
      </c>
      <c r="H10" s="11" t="str">
        <f>IF($L10="","",INDEX(Плата!$Q:$Q,$L10)&amp;"")</f>
        <v>в наявності</v>
      </c>
      <c r="I10" s="14" t="str">
        <f>IF($L10="","",IF(INDEX(Плата!$AI:$AI,$L10)="","",HYPERLINK(INDEX(Плата!$AI:$AI,$L10),"відкрити")))</f>
        <v>відкрити</v>
      </c>
      <c r="J10" s="3" t="str">
        <f>IF($L10="","",INDEX(Плата!$U:$U,$L10)&amp;"")</f>
        <v>IMRAD: «Є в наявності, на складі» (кількість не показано); ціна від 10 шт (1 шт: 3.80, від 100: 3.18)</v>
      </c>
      <c r="K10" s="11">
        <f>IFERROR(SMALL(Плата!$AJ$6:$AJ$44,6),"")</f>
        <v>1011</v>
      </c>
      <c r="L10" s="11">
        <f t="shared" si="0"/>
        <v>11</v>
      </c>
    </row>
    <row r="11" spans="1:12" x14ac:dyDescent="0.3">
      <c r="A11" s="8" t="str">
        <f>IF($L11="","",INDEX(Плата!$O:$O,$L11)&amp;"")</f>
        <v>IMRAD</v>
      </c>
      <c r="B11" s="3" t="str">
        <f>IF($L11="","",INDEX(Плата!$B:$B,$L11)&amp;"")</f>
        <v>D101</v>
      </c>
      <c r="C11" s="3" t="str">
        <f>IF($L11="","",INDEX(Плата!$P:$P,$L11)&amp;"")</f>
        <v>Diodes B1100-13-F (100 В, 1 А, SMA, точний MPN)</v>
      </c>
      <c r="D11" s="10">
        <f>IF($L11="","",INDEX(Плата!$L:$L,$L11))</f>
        <v>10</v>
      </c>
      <c r="E11" s="11" t="str">
        <f>IF($L11="","",INDEX(Плата!$G:$G,$L11)&amp;"")</f>
        <v>шт</v>
      </c>
      <c r="F11" s="12">
        <f>IF($L11="","",INDEX(Плата!$R:$R,$L11))</f>
        <v>5.55</v>
      </c>
      <c r="G11" s="13">
        <f>IF($L11="","",INDEX(Плата!$S:$S,$L11))</f>
        <v>55.5</v>
      </c>
      <c r="H11" s="11" t="str">
        <f>IF($L11="","",INDEX(Плата!$Q:$Q,$L11)&amp;"")</f>
        <v>в наявності</v>
      </c>
      <c r="I11" s="14" t="str">
        <f>IF($L11="","",IF(INDEX(Плата!$AI:$AI,$L11)="","",HYPERLINK(INDEX(Плата!$AI:$AI,$L11),"відкрити")))</f>
        <v>відкрити</v>
      </c>
      <c r="J11" s="3" t="str">
        <f>IF($L11="","",INDEX(Плата!$U:$U,$L11)&amp;"")</f>
        <v>IMRAD: «Є в наявності, на складі» (кількість не показано); ціна від 10 шт (1 шт: 6.07, від 50: 5.21)</v>
      </c>
      <c r="K11" s="11">
        <f>IFERROR(SMALL(Плата!$AJ$6:$AJ$44,7),"")</f>
        <v>1012</v>
      </c>
      <c r="L11" s="11">
        <f t="shared" si="0"/>
        <v>12</v>
      </c>
    </row>
    <row r="12" spans="1:12" x14ac:dyDescent="0.3">
      <c r="A12" s="8" t="str">
        <f>IF($L12="","",INDEX(Плата!$O:$O,$L12)&amp;"")</f>
        <v>IMRAD</v>
      </c>
      <c r="B12" s="3" t="str">
        <f>IF($L12="","",INDEX(Плата!$B:$B,$L12)&amp;"")</f>
        <v>D102</v>
      </c>
      <c r="C12" s="3" t="str">
        <f>IF($L12="","",INDEX(Плата!$P:$P,$L12)&amp;"")</f>
        <v>ST SMAJ33A-TR (однонаправлений, 33 В, 400 Вт, SMA, точний MPN)</v>
      </c>
      <c r="D12" s="10">
        <f>IF($L12="","",INDEX(Плата!$L:$L,$L12))</f>
        <v>10</v>
      </c>
      <c r="E12" s="11" t="str">
        <f>IF($L12="","",INDEX(Плата!$G:$G,$L12)&amp;"")</f>
        <v>шт</v>
      </c>
      <c r="F12" s="12">
        <f>IF($L12="","",INDEX(Плата!$R:$R,$L12))</f>
        <v>6.26</v>
      </c>
      <c r="G12" s="13">
        <f>IF($L12="","",INDEX(Плата!$S:$S,$L12))</f>
        <v>62.599999999999994</v>
      </c>
      <c r="H12" s="11" t="str">
        <f>IF($L12="","",INDEX(Плата!$Q:$Q,$L12)&amp;"")</f>
        <v>в наявності</v>
      </c>
      <c r="I12" s="14" t="str">
        <f>IF($L12="","",IF(INDEX(Плата!$AI:$AI,$L12)="","",HYPERLINK(INDEX(Плата!$AI:$AI,$L12),"відкрити")))</f>
        <v>відкрити</v>
      </c>
      <c r="J12" s="3" t="str">
        <f>IF($L12="","",INDEX(Плата!$U:$U,$L12)&amp;"")</f>
        <v>IMRAD: «Є в наявності, на складі» (кількість не показано); ціна від 10 шт (1 шт: 6.85, від 50: 5.87)</v>
      </c>
      <c r="K12" s="11">
        <f>IFERROR(SMALL(Плата!$AJ$6:$AJ$44,8),"")</f>
        <v>1013</v>
      </c>
      <c r="L12" s="11">
        <f t="shared" si="0"/>
        <v>13</v>
      </c>
    </row>
    <row r="13" spans="1:12" x14ac:dyDescent="0.3">
      <c r="A13" s="8" t="str">
        <f>IF($L13="","",INDEX(Плата!$O:$O,$L13)&amp;"")</f>
        <v>IMRAD</v>
      </c>
      <c r="B13" s="3" t="str">
        <f>IF($L13="","",INDEX(Плата!$B:$B,$L13)&amp;"")</f>
        <v>D501</v>
      </c>
      <c r="C13" s="3" t="str">
        <f>IF($L13="","",INDEX(Плата!$P:$P,$L13)&amp;"")</f>
        <v>Lite-On LTST-C191KGKT (жовто-зелений 571 нм, точний MPN)</v>
      </c>
      <c r="D13" s="10">
        <f>IF($L13="","",INDEX(Плата!$L:$L,$L13))</f>
        <v>20</v>
      </c>
      <c r="E13" s="11" t="str">
        <f>IF($L13="","",INDEX(Плата!$G:$G,$L13)&amp;"")</f>
        <v>шт</v>
      </c>
      <c r="F13" s="12">
        <f>IF($L13="","",INDEX(Плата!$R:$R,$L13))</f>
        <v>1.74</v>
      </c>
      <c r="G13" s="13">
        <f>IF($L13="","",INDEX(Плата!$S:$S,$L13))</f>
        <v>34.799999999999997</v>
      </c>
      <c r="H13" s="11" t="str">
        <f>IF($L13="","",INDEX(Плата!$Q:$Q,$L13)&amp;"")</f>
        <v>в наявності</v>
      </c>
      <c r="I13" s="14" t="str">
        <f>IF($L13="","",IF(INDEX(Плата!$AI:$AI,$L13)="","",HYPERLINK(INDEX(Плата!$AI:$AI,$L13),"відкрити")))</f>
        <v>відкрити</v>
      </c>
      <c r="J13" s="3" t="str">
        <f>IF($L13="","",INDEX(Плата!$U:$U,$L13)&amp;"")</f>
        <v>IMRAD: «Є в наявності, на складі» (кількість не показано); ціна від 10 шт (1 шт: 1.84, від 50: 1.56)</v>
      </c>
      <c r="K13" s="11">
        <f>IFERROR(SMALL(Плата!$AJ$6:$AJ$44,9),"")</f>
        <v>1014</v>
      </c>
      <c r="L13" s="11">
        <f t="shared" si="0"/>
        <v>14</v>
      </c>
    </row>
    <row r="14" spans="1:12" x14ac:dyDescent="0.3">
      <c r="A14" s="8" t="str">
        <f>IF($L14="","",INDEX(Плата!$O:$O,$L14)&amp;"")</f>
        <v>IMRAD</v>
      </c>
      <c r="B14" s="3" t="str">
        <f>IF($L14="","",INDEX(Плата!$B:$B,$L14)&amp;"")</f>
        <v>D502</v>
      </c>
      <c r="C14" s="3" t="str">
        <f>IF($L14="","",INDEX(Плата!$P:$P,$L14)&amp;"")</f>
        <v>Kingbright KP-1608SURCK (червоний 630 нм, точний MPN)</v>
      </c>
      <c r="D14" s="10">
        <f>IF($L14="","",INDEX(Плата!$L:$L,$L14))</f>
        <v>20</v>
      </c>
      <c r="E14" s="11" t="str">
        <f>IF($L14="","",INDEX(Плата!$G:$G,$L14)&amp;"")</f>
        <v>шт</v>
      </c>
      <c r="F14" s="12">
        <f>IF($L14="","",INDEX(Плата!$R:$R,$L14))</f>
        <v>4.6900000000000004</v>
      </c>
      <c r="G14" s="13">
        <f>IF($L14="","",INDEX(Плата!$S:$S,$L14))</f>
        <v>93.800000000000011</v>
      </c>
      <c r="H14" s="11" t="str">
        <f>IF($L14="","",INDEX(Плата!$Q:$Q,$L14)&amp;"")</f>
        <v>в наявності</v>
      </c>
      <c r="I14" s="14" t="str">
        <f>IF($L14="","",IF(INDEX(Плата!$AI:$AI,$L14)="","",HYPERLINK(INDEX(Плата!$AI:$AI,$L14),"відкрити")))</f>
        <v>відкрити</v>
      </c>
      <c r="J14" s="3" t="str">
        <f>IF($L14="","",INDEX(Плата!$U:$U,$L14)&amp;"")</f>
        <v>IMRAD: «Є в наявності, на складі» (кількість не показано); ціна від 10 шт (1 шт: 4.96, від 50: 4.21)</v>
      </c>
      <c r="K14" s="11">
        <f>IFERROR(SMALL(Плата!$AJ$6:$AJ$44,10),"")</f>
        <v>1015</v>
      </c>
      <c r="L14" s="11">
        <f t="shared" si="0"/>
        <v>15</v>
      </c>
    </row>
    <row r="15" spans="1:12" x14ac:dyDescent="0.3">
      <c r="A15" s="8" t="str">
        <f>IF($L15="","",INDEX(Плата!$O:$O,$L15)&amp;"")</f>
        <v>IMRAD</v>
      </c>
      <c r="B15" s="3" t="str">
        <f>IF($L15="","",INDEX(Плата!$B:$B,$L15)&amp;"")</f>
        <v>F101</v>
      </c>
      <c r="C15" s="3" t="str">
        <f>IF($L15="","",INDEX(Плата!$P:$P,$L15)&amp;"")</f>
        <v>Littelfuse 0451002.MRL (NANO2, 2 А 125 В, точний MPN)</v>
      </c>
      <c r="D15" s="10">
        <f>IF($L15="","",INDEX(Плата!$L:$L,$L15))</f>
        <v>10</v>
      </c>
      <c r="E15" s="11" t="str">
        <f>IF($L15="","",INDEX(Плата!$G:$G,$L15)&amp;"")</f>
        <v>шт</v>
      </c>
      <c r="F15" s="12">
        <f>IF($L15="","",INDEX(Плата!$R:$R,$L15))</f>
        <v>49.95</v>
      </c>
      <c r="G15" s="13">
        <f>IF($L15="","",INDEX(Плата!$S:$S,$L15))</f>
        <v>499.5</v>
      </c>
      <c r="H15" s="11" t="str">
        <f>IF($L15="","",INDEX(Плата!$Q:$Q,$L15)&amp;"")</f>
        <v>в наявності</v>
      </c>
      <c r="I15" s="14" t="str">
        <f>IF($L15="","",IF(INDEX(Плата!$AI:$AI,$L15)="","",HYPERLINK(INDEX(Плата!$AI:$AI,$L15),"відкрити")))</f>
        <v>відкрити</v>
      </c>
      <c r="J15" s="3" t="str">
        <f>IF($L15="","",INDEX(Плата!$U:$U,$L15)&amp;"")</f>
        <v>IMRAD: «Є в наявності, на складі» (кількість не показано); ціна від 8 шт (1 шт: 57.93, від 4: 55.03, від 24: 45.86)</v>
      </c>
      <c r="K15" s="11">
        <f>IFERROR(SMALL(Плата!$AJ$6:$AJ$44,11),"")</f>
        <v>1016</v>
      </c>
      <c r="L15" s="11">
        <f t="shared" si="0"/>
        <v>16</v>
      </c>
    </row>
    <row r="16" spans="1:12" x14ac:dyDescent="0.3">
      <c r="A16" s="8" t="str">
        <f>IF($L16="","",INDEX(Плата!$O:$O,$L16)&amp;"")</f>
        <v>IMRAD</v>
      </c>
      <c r="B16" s="3" t="str">
        <f>IF($L16="","",INDEX(Плата!$B:$B,$L16)&amp;"")</f>
        <v>J201</v>
      </c>
      <c r="C16" s="3" t="str">
        <f>IF($L16="","",INDEX(Плата!$P:$P,$L16)&amp;"")</f>
        <v>GCT USB4105-GF-A (точний MPN)</v>
      </c>
      <c r="D16" s="10">
        <f>IF($L16="","",INDEX(Плата!$L:$L,$L16))</f>
        <v>10</v>
      </c>
      <c r="E16" s="11" t="str">
        <f>IF($L16="","",INDEX(Плата!$G:$G,$L16)&amp;"")</f>
        <v>шт</v>
      </c>
      <c r="F16" s="12">
        <f>IF($L16="","",INDEX(Плата!$R:$R,$L16))</f>
        <v>34.96</v>
      </c>
      <c r="G16" s="13">
        <f>IF($L16="","",INDEX(Плата!$S:$S,$L16))</f>
        <v>349.6</v>
      </c>
      <c r="H16" s="11" t="str">
        <f>IF($L16="","",INDEX(Плата!$Q:$Q,$L16)&amp;"")</f>
        <v>в наявності</v>
      </c>
      <c r="I16" s="14" t="str">
        <f>IF($L16="","",IF(INDEX(Плата!$AI:$AI,$L16)="","",HYPERLINK(INDEX(Плата!$AI:$AI,$L16),"відкрити")))</f>
        <v>відкрити</v>
      </c>
      <c r="J16" s="3" t="str">
        <f>IF($L16="","",INDEX(Плата!$U:$U,$L16)&amp;"")</f>
        <v>IMRAD: «Є в наявності, на складі» (кількість не показано); ціна від 8 шт (1 шт: 37.65, від 4: 36.30, від 20: 33.62)</v>
      </c>
      <c r="K16" s="11">
        <f>IFERROR(SMALL(Плата!$AJ$6:$AJ$44,12),"")</f>
        <v>1019</v>
      </c>
      <c r="L16" s="11">
        <f t="shared" si="0"/>
        <v>19</v>
      </c>
    </row>
    <row r="17" spans="1:12" x14ac:dyDescent="0.3">
      <c r="A17" s="8" t="str">
        <f>IF($L17="","",INDEX(Плата!$O:$O,$L17)&amp;"")</f>
        <v>IMRAD</v>
      </c>
      <c r="B17" s="3" t="str">
        <f>IF($L17="","",INDEX(Плата!$B:$B,$L17)&amp;"")</f>
        <v>J503</v>
      </c>
      <c r="C17" s="3" t="str">
        <f>IF($L17="","",INDEX(Плата!$P:$P,$L17)&amp;"")</f>
        <v>JST B3B-XH-A (точний MPN)</v>
      </c>
      <c r="D17" s="10">
        <f>IF($L17="","",INDEX(Плата!$L:$L,$L17))</f>
        <v>10</v>
      </c>
      <c r="E17" s="11" t="str">
        <f>IF($L17="","",INDEX(Плата!$G:$G,$L17)&amp;"")</f>
        <v>шт</v>
      </c>
      <c r="F17" s="12">
        <f>IF($L17="","",INDEX(Плата!$R:$R,$L17))</f>
        <v>4.3499999999999996</v>
      </c>
      <c r="G17" s="13">
        <f>IF($L17="","",INDEX(Плата!$S:$S,$L17))</f>
        <v>43.5</v>
      </c>
      <c r="H17" s="11" t="str">
        <f>IF($L17="","",INDEX(Плата!$Q:$Q,$L17)&amp;"")</f>
        <v>в наявності</v>
      </c>
      <c r="I17" s="14" t="str">
        <f>IF($L17="","",IF(INDEX(Плата!$AI:$AI,$L17)="","",HYPERLINK(INDEX(Плата!$AI:$AI,$L17),"відкрити")))</f>
        <v>відкрити</v>
      </c>
      <c r="J17" s="3" t="str">
        <f>IF($L17="","",INDEX(Плата!$U:$U,$L17)&amp;"")</f>
        <v>IMRAD: «Є в наявності, на складі» (кількість не показано); ціна від 10 шт (1 шт: 4.82, від 35: 4.20)</v>
      </c>
      <c r="K17" s="11">
        <f>IFERROR(SMALL(Плата!$AJ$6:$AJ$44,13),"")</f>
        <v>1020</v>
      </c>
      <c r="L17" s="11">
        <f t="shared" si="0"/>
        <v>20</v>
      </c>
    </row>
    <row r="18" spans="1:12" x14ac:dyDescent="0.3">
      <c r="A18" s="8" t="str">
        <f>IF($L18="","",INDEX(Плата!$O:$O,$L18)&amp;"")</f>
        <v>IMRAD</v>
      </c>
      <c r="B18" s="3" t="str">
        <f>IF($L18="","",INDEX(Плата!$B:$B,$L18)&amp;"")</f>
        <v>J504</v>
      </c>
      <c r="C18" s="3" t="str">
        <f>IF($L18="","",INDEX(Плата!$P:$P,$L18)&amp;"")</f>
        <v>JST B2B-XH-A (LF)(SN) (точний MPN)</v>
      </c>
      <c r="D18" s="10">
        <f>IF($L18="","",INDEX(Плата!$L:$L,$L18))</f>
        <v>10</v>
      </c>
      <c r="E18" s="11" t="str">
        <f>IF($L18="","",INDEX(Плата!$G:$G,$L18)&amp;"")</f>
        <v>шт</v>
      </c>
      <c r="F18" s="12">
        <f>IF($L18="","",INDEX(Плата!$R:$R,$L18))</f>
        <v>3.2</v>
      </c>
      <c r="G18" s="13">
        <f>IF($L18="","",INDEX(Плата!$S:$S,$L18))</f>
        <v>32</v>
      </c>
      <c r="H18" s="11" t="str">
        <f>IF($L18="","",INDEX(Плата!$Q:$Q,$L18)&amp;"")</f>
        <v>в наявності</v>
      </c>
      <c r="I18" s="14" t="str">
        <f>IF($L18="","",IF(INDEX(Плата!$AI:$AI,$L18)="","",HYPERLINK(INDEX(Плата!$AI:$AI,$L18),"відкрити")))</f>
        <v>відкрити</v>
      </c>
      <c r="J18" s="3" t="str">
        <f>IF($L18="","",INDEX(Плата!$U:$U,$L18)&amp;"")</f>
        <v>IMRAD: «Є в наявності, на складі» (кількість не показано); ціна від 10 шт (1 шт: 3.72, від 50: 3.05). НЕ B2B-XH-AM (з бобишкою)</v>
      </c>
      <c r="K18" s="11">
        <f>IFERROR(SMALL(Плата!$AJ$6:$AJ$44,14),"")</f>
        <v>1021</v>
      </c>
      <c r="L18" s="11">
        <f t="shared" si="0"/>
        <v>21</v>
      </c>
    </row>
    <row r="19" spans="1:12" x14ac:dyDescent="0.3">
      <c r="A19" s="8" t="str">
        <f>IF($L19="","",INDEX(Плата!$O:$O,$L19)&amp;"")</f>
        <v>IMRAD</v>
      </c>
      <c r="B19" s="3" t="str">
        <f>IF($L19="","",INDEX(Плата!$B:$B,$L19)&amp;"")</f>
        <v>Q501</v>
      </c>
      <c r="C19" s="3" t="str">
        <f>IF($L19="","",INDEX(Плата!$P:$P,$L19)&amp;"")</f>
        <v>Vishay SI2309CDS-T1-GE3 (точний MPN)</v>
      </c>
      <c r="D19" s="10">
        <f>IF($L19="","",INDEX(Плата!$L:$L,$L19))</f>
        <v>10</v>
      </c>
      <c r="E19" s="11" t="str">
        <f>IF($L19="","",INDEX(Плата!$G:$G,$L19)&amp;"")</f>
        <v>шт</v>
      </c>
      <c r="F19" s="12">
        <f>IF($L19="","",INDEX(Плата!$R:$R,$L19))</f>
        <v>57.12</v>
      </c>
      <c r="G19" s="13">
        <f>IF($L19="","",INDEX(Плата!$S:$S,$L19))</f>
        <v>571.19999999999993</v>
      </c>
      <c r="H19" s="11" t="str">
        <f>IF($L19="","",INDEX(Плата!$Q:$Q,$L19)&amp;"")</f>
        <v>в наявності</v>
      </c>
      <c r="I19" s="14" t="str">
        <f>IF($L19="","",IF(INDEX(Плата!$AI:$AI,$L19)="","",HYPERLINK(INDEX(Плата!$AI:$AI,$L19),"відкрити")))</f>
        <v>відкрити</v>
      </c>
      <c r="J19" s="3" t="str">
        <f>IF($L19="","",INDEX(Плата!$U:$U,$L19)&amp;"")</f>
        <v>IMRAD: «Є в наявності, на складі» (кількість не показано); одна ціна для будь-якої кількості</v>
      </c>
      <c r="K19" s="11">
        <f>IFERROR(SMALL(Плата!$AJ$6:$AJ$44,15),"")</f>
        <v>1023</v>
      </c>
      <c r="L19" s="11">
        <f t="shared" si="0"/>
        <v>23</v>
      </c>
    </row>
    <row r="20" spans="1:12" x14ac:dyDescent="0.3">
      <c r="A20" s="8" t="str">
        <f>IF($L20="","",INDEX(Плата!$O:$O,$L20)&amp;"")</f>
        <v>IMRAD</v>
      </c>
      <c r="B20" s="3" t="str">
        <f>IF($L20="","",INDEX(Плата!$B:$B,$L20)&amp;"")</f>
        <v>Q503</v>
      </c>
      <c r="C20" s="3" t="str">
        <f>IF($L20="","",INDEX(Плата!$P:$P,$L20)&amp;"")</f>
        <v>onsemi MMBT5551LT1G (точний MPN)</v>
      </c>
      <c r="D20" s="10">
        <f>IF($L20="","",INDEX(Плата!$L:$L,$L20))</f>
        <v>10</v>
      </c>
      <c r="E20" s="11" t="str">
        <f>IF($L20="","",INDEX(Плата!$G:$G,$L20)&amp;"")</f>
        <v>шт</v>
      </c>
      <c r="F20" s="12">
        <f>IF($L20="","",INDEX(Плата!$R:$R,$L20))</f>
        <v>1.62</v>
      </c>
      <c r="G20" s="13">
        <f>IF($L20="","",INDEX(Плата!$S:$S,$L20))</f>
        <v>16.200000000000003</v>
      </c>
      <c r="H20" s="11" t="str">
        <f>IF($L20="","",INDEX(Плата!$Q:$Q,$L20)&amp;"")</f>
        <v>в наявності</v>
      </c>
      <c r="I20" s="14" t="str">
        <f>IF($L20="","",IF(INDEX(Плата!$AI:$AI,$L20)="","",HYPERLINK(INDEX(Плата!$AI:$AI,$L20),"відкрити")))</f>
        <v>відкрити</v>
      </c>
      <c r="J20" s="3" t="str">
        <f>IF($L20="","",INDEX(Плата!$U:$U,$L20)&amp;"")</f>
        <v>IMRAD: «Є в наявності, на складі» (кількість не показано); ціна від 10 шт (1 шт: 1.72, від 50: 1.54)</v>
      </c>
      <c r="K20" s="11">
        <f>IFERROR(SMALL(Плата!$AJ$6:$AJ$44,16),"")</f>
        <v>1024</v>
      </c>
      <c r="L20" s="11">
        <f t="shared" si="0"/>
        <v>24</v>
      </c>
    </row>
    <row r="21" spans="1:12" x14ac:dyDescent="0.3">
      <c r="A21" s="8" t="str">
        <f>IF($L21="","",INDEX(Плата!$O:$O,$L21)&amp;"")</f>
        <v>IMRAD</v>
      </c>
      <c r="B21" s="3" t="str">
        <f>IF($L21="","",INDEX(Плата!$B:$B,$L21)&amp;"")</f>
        <v>R101</v>
      </c>
      <c r="C21" s="3" t="str">
        <f>IF($L21="","",INDEX(Плата!$P:$P,$L21)&amp;"")</f>
        <v>Yageo RC0603FR-0768KL (68 кОм 1 %), упаковка 100 шт</v>
      </c>
      <c r="D21" s="10">
        <f>IF($L21="","",INDEX(Плата!$L:$L,$L21))</f>
        <v>100</v>
      </c>
      <c r="E21" s="11" t="str">
        <f>IF($L21="","",INDEX(Плата!$G:$G,$L21)&amp;"")</f>
        <v>шт</v>
      </c>
      <c r="F21" s="12">
        <f>IF($L21="","",INDEX(Плата!$R:$R,$L21))</f>
        <v>0.104</v>
      </c>
      <c r="G21" s="13">
        <f>IF($L21="","",INDEX(Плата!$S:$S,$L21))</f>
        <v>10.4</v>
      </c>
      <c r="H21" s="11" t="str">
        <f>IF($L21="","",INDEX(Плата!$Q:$Q,$L21)&amp;"")</f>
        <v>в наявності</v>
      </c>
      <c r="I21" s="14" t="str">
        <f>IF($L21="","",IF(INDEX(Плата!$AI:$AI,$L21)="","",HYPERLINK(INDEX(Плата!$AI:$AI,$L21),"відкрити")))</f>
        <v>відкрити</v>
      </c>
      <c r="J21" s="3" t="str">
        <f>IF($L21="","",INDEX(Плата!$U:$U,$L21)&amp;"")</f>
        <v>IMRAD: «Є в наявності, на складі» (кількість не показано); 10.40 грн за 100 шт (від 5 уп.: 8.40, від 10: 7.00); ціна в рядку - за 1 шт</v>
      </c>
      <c r="K21" s="11">
        <f>IFERROR(SMALL(Плата!$AJ$6:$AJ$44,17),"")</f>
        <v>1025</v>
      </c>
      <c r="L21" s="11">
        <f t="shared" si="0"/>
        <v>25</v>
      </c>
    </row>
    <row r="22" spans="1:12" x14ac:dyDescent="0.3">
      <c r="A22" s="8" t="str">
        <f>IF($L22="","",INDEX(Плата!$O:$O,$L22)&amp;"")</f>
        <v>IMRAD</v>
      </c>
      <c r="B22" s="3" t="str">
        <f>IF($L22="","",INDEX(Плата!$B:$B,$L22)&amp;"")</f>
        <v>R102</v>
      </c>
      <c r="C22" s="3" t="str">
        <f>IF($L22="","",INDEX(Плата!$P:$P,$L22)&amp;"")</f>
        <v>Royal Ohm 0603SAF5103T5E (510 кОм 1 %), упаковка 100 шт</v>
      </c>
      <c r="D22" s="10">
        <f>IF($L22="","",INDEX(Плата!$L:$L,$L22))</f>
        <v>100</v>
      </c>
      <c r="E22" s="11" t="str">
        <f>IF($L22="","",INDEX(Плата!$G:$G,$L22)&amp;"")</f>
        <v>шт</v>
      </c>
      <c r="F22" s="12">
        <f>IF($L22="","",INDEX(Плата!$R:$R,$L22))</f>
        <v>0.11700000000000001</v>
      </c>
      <c r="G22" s="13">
        <f>IF($L22="","",INDEX(Плата!$S:$S,$L22))</f>
        <v>11.700000000000001</v>
      </c>
      <c r="H22" s="11" t="str">
        <f>IF($L22="","",INDEX(Плата!$Q:$Q,$L22)&amp;"")</f>
        <v>в наявності</v>
      </c>
      <c r="I22" s="14" t="str">
        <f>IF($L22="","",IF(INDEX(Плата!$AI:$AI,$L22)="","",HYPERLINK(INDEX(Плата!$AI:$AI,$L22),"відкрити")))</f>
        <v>відкрити</v>
      </c>
      <c r="J22" s="3" t="str">
        <f>IF($L22="","",INDEX(Плата!$U:$U,$L22)&amp;"")</f>
        <v>IMRAD: «Є в наявності, на складі» (кількість не показано); 11.70 грн за 100 шт (від 5 уп.: 9.45, від 10: 7.88); ціна в рядку - за 1 шт</v>
      </c>
      <c r="K22" s="11">
        <f>IFERROR(SMALL(Плата!$AJ$6:$AJ$44,18),"")</f>
        <v>1026</v>
      </c>
      <c r="L22" s="11">
        <f t="shared" si="0"/>
        <v>26</v>
      </c>
    </row>
    <row r="23" spans="1:12" x14ac:dyDescent="0.3">
      <c r="A23" s="8" t="str">
        <f>IF($L23="","",INDEX(Плата!$O:$O,$L23)&amp;"")</f>
        <v>IMRAD</v>
      </c>
      <c r="B23" s="3" t="str">
        <f>IF($L23="","",INDEX(Плата!$B:$B,$L23)&amp;"")</f>
        <v>R103</v>
      </c>
      <c r="C23" s="3" t="str">
        <f>IF($L23="","",INDEX(Плата!$P:$P,$L23)&amp;"")</f>
        <v>Yageo RC0603FR-07220KL (220 кОм 1 %), упаковка 100 шт</v>
      </c>
      <c r="D23" s="10">
        <f>IF($L23="","",INDEX(Плата!$L:$L,$L23))</f>
        <v>100</v>
      </c>
      <c r="E23" s="11" t="str">
        <f>IF($L23="","",INDEX(Плата!$G:$G,$L23)&amp;"")</f>
        <v>шт</v>
      </c>
      <c r="F23" s="12">
        <f>IF($L23="","",INDEX(Плата!$R:$R,$L23))</f>
        <v>0.26200000000000001</v>
      </c>
      <c r="G23" s="13">
        <f>IF($L23="","",INDEX(Плата!$S:$S,$L23))</f>
        <v>26.200000000000003</v>
      </c>
      <c r="H23" s="11" t="str">
        <f>IF($L23="","",INDEX(Плата!$Q:$Q,$L23)&amp;"")</f>
        <v>в наявності</v>
      </c>
      <c r="I23" s="14" t="str">
        <f>IF($L23="","",IF(INDEX(Плата!$AI:$AI,$L23)="","",HYPERLINK(INDEX(Плата!$AI:$AI,$L23),"відкрити")))</f>
        <v>відкрити</v>
      </c>
      <c r="J23" s="3" t="str">
        <f>IF($L23="","",INDEX(Плата!$U:$U,$L23)&amp;"")</f>
        <v>IMRAD: «Є в наявності, на складі» (кількість не показано); 26.20 грн за 100 шт (від 5 уп.: 25.20, від 10: 21.00); ціна в рядку - за 1 шт</v>
      </c>
      <c r="K23" s="11">
        <f>IFERROR(SMALL(Плата!$AJ$6:$AJ$44,19),"")</f>
        <v>1027</v>
      </c>
      <c r="L23" s="11">
        <f t="shared" si="0"/>
        <v>27</v>
      </c>
    </row>
    <row r="24" spans="1:12" x14ac:dyDescent="0.3">
      <c r="A24" s="8" t="str">
        <f>IF($L24="","",INDEX(Плата!$O:$O,$L24)&amp;"")</f>
        <v>IMRAD</v>
      </c>
      <c r="B24" s="3" t="str">
        <f>IF($L24="","",INDEX(Плата!$B:$B,$L24)&amp;"")</f>
        <v>R201, R202, R401, R501, R507</v>
      </c>
      <c r="C24" s="3" t="str">
        <f>IF($L24="","",INDEX(Плата!$P:$P,$L24)&amp;"")</f>
        <v>Royal Ohm 0603SAF1002T5E (10 кОм 1 %), упаковка 100 шт</v>
      </c>
      <c r="D24" s="10">
        <f>IF($L24="","",INDEX(Плата!$L:$L,$L24))</f>
        <v>100</v>
      </c>
      <c r="E24" s="11" t="str">
        <f>IF($L24="","",INDEX(Плата!$G:$G,$L24)&amp;"")</f>
        <v>шт</v>
      </c>
      <c r="F24" s="12">
        <f>IF($L24="","",INDEX(Плата!$R:$R,$L24))</f>
        <v>0.1404</v>
      </c>
      <c r="G24" s="13">
        <f>IF($L24="","",INDEX(Плата!$S:$S,$L24))</f>
        <v>14.04</v>
      </c>
      <c r="H24" s="11" t="str">
        <f>IF($L24="","",INDEX(Плата!$Q:$Q,$L24)&amp;"")</f>
        <v>в наявності</v>
      </c>
      <c r="I24" s="14" t="str">
        <f>IF($L24="","",IF(INDEX(Плата!$AI:$AI,$L24)="","",HYPERLINK(INDEX(Плата!$AI:$AI,$L24),"відкрити")))</f>
        <v>відкрити</v>
      </c>
      <c r="J24" s="3" t="str">
        <f>IF($L24="","",INDEX(Плата!$U:$U,$L24)&amp;"")</f>
        <v>IMRAD: «Є в наявності, на складі» (кількість не показано); 14.04 грн за 100 шт (від 5 уп.: 11.34, від 10: 9.45); ціна в рядку - за 1 шт</v>
      </c>
      <c r="K24" s="11">
        <f>IFERROR(SMALL(Плата!$AJ$6:$AJ$44,20),"")</f>
        <v>1028</v>
      </c>
      <c r="L24" s="11">
        <f t="shared" si="0"/>
        <v>28</v>
      </c>
    </row>
    <row r="25" spans="1:12" x14ac:dyDescent="0.3">
      <c r="A25" s="8" t="str">
        <f>IF($L25="","",INDEX(Плата!$O:$O,$L25)&amp;"")</f>
        <v>IMRAD</v>
      </c>
      <c r="B25" s="3" t="str">
        <f>IF($L25="","",INDEX(Плата!$B:$B,$L25)&amp;"")</f>
        <v>R205, R206</v>
      </c>
      <c r="C25" s="3" t="str">
        <f>IF($L25="","",INDEX(Плата!$P:$P,$L25)&amp;"")</f>
        <v>Yageo RC0603FR-075K1L (5.1 кОм 1 %), упаковка 100 шт</v>
      </c>
      <c r="D25" s="10">
        <f>IF($L25="","",INDEX(Плата!$L:$L,$L25))</f>
        <v>100</v>
      </c>
      <c r="E25" s="11" t="str">
        <f>IF($L25="","",INDEX(Плата!$G:$G,$L25)&amp;"")</f>
        <v>шт</v>
      </c>
      <c r="F25" s="12">
        <f>IF($L25="","",INDEX(Плата!$R:$R,$L25))</f>
        <v>0.182</v>
      </c>
      <c r="G25" s="13">
        <f>IF($L25="","",INDEX(Плата!$S:$S,$L25))</f>
        <v>18.2</v>
      </c>
      <c r="H25" s="11" t="str">
        <f>IF($L25="","",INDEX(Плата!$Q:$Q,$L25)&amp;"")</f>
        <v>в наявності</v>
      </c>
      <c r="I25" s="14" t="str">
        <f>IF($L25="","",IF(INDEX(Плата!$AI:$AI,$L25)="","",HYPERLINK(INDEX(Плата!$AI:$AI,$L25),"відкрити")))</f>
        <v>відкрити</v>
      </c>
      <c r="J25" s="3" t="str">
        <f>IF($L25="","",INDEX(Плата!$U:$U,$L25)&amp;"")</f>
        <v>IMRAD: «Є в наявності, на складі» (кількість не показано); 18.20 грн за 100 шт (від 5 уп.: 14.70, від 10: 12.25); ціна в рядку - за 1 шт</v>
      </c>
      <c r="K25" s="11">
        <f>IFERROR(SMALL(Плата!$AJ$6:$AJ$44,21),"")</f>
        <v>1029</v>
      </c>
      <c r="L25" s="11">
        <f t="shared" si="0"/>
        <v>29</v>
      </c>
    </row>
    <row r="26" spans="1:12" x14ac:dyDescent="0.3">
      <c r="A26" s="8" t="str">
        <f>IF($L26="","",INDEX(Плата!$O:$O,$L26)&amp;"")</f>
        <v>IMRAD</v>
      </c>
      <c r="B26" s="3" t="str">
        <f>IF($L26="","",INDEX(Плата!$B:$B,$L26)&amp;"")</f>
        <v>R208, R209</v>
      </c>
      <c r="C26" s="3" t="str">
        <f>IF($L26="","",INDEX(Плата!$P:$P,$L26)&amp;"")</f>
        <v>Yageo RC0603FR-0722RL (22 Ом 1 %), упаковка 100 шт</v>
      </c>
      <c r="D26" s="10">
        <f>IF($L26="","",INDEX(Плата!$L:$L,$L26))</f>
        <v>100</v>
      </c>
      <c r="E26" s="11" t="str">
        <f>IF($L26="","",INDEX(Плата!$G:$G,$L26)&amp;"")</f>
        <v>шт</v>
      </c>
      <c r="F26" s="12">
        <f>IF($L26="","",INDEX(Плата!$R:$R,$L26))</f>
        <v>0.20799999999999999</v>
      </c>
      <c r="G26" s="13">
        <f>IF($L26="","",INDEX(Плата!$S:$S,$L26))</f>
        <v>20.8</v>
      </c>
      <c r="H26" s="11" t="str">
        <f>IF($L26="","",INDEX(Плата!$Q:$Q,$L26)&amp;"")</f>
        <v>в наявності</v>
      </c>
      <c r="I26" s="14" t="str">
        <f>IF($L26="","",IF(INDEX(Плата!$AI:$AI,$L26)="","",HYPERLINK(INDEX(Плата!$AI:$AI,$L26),"відкрити")))</f>
        <v>відкрити</v>
      </c>
      <c r="J26" s="3" t="str">
        <f>IF($L26="","",INDEX(Плата!$U:$U,$L26)&amp;"")</f>
        <v>IMRAD: «Є в наявності, на складі» (кількість не показано); 20.80 грн за 100 шт (від 5 уп.: 16.80, від 10: 14.00); ціна в рядку - за 1 шт</v>
      </c>
      <c r="K26" s="11">
        <f>IFERROR(SMALL(Плата!$AJ$6:$AJ$44,22),"")</f>
        <v>1030</v>
      </c>
      <c r="L26" s="11">
        <f t="shared" si="0"/>
        <v>30</v>
      </c>
    </row>
    <row r="27" spans="1:12" x14ac:dyDescent="0.3">
      <c r="A27" s="8" t="str">
        <f>IF($L27="","",INDEX(Плата!$O:$O,$L27)&amp;"")</f>
        <v>IMRAD</v>
      </c>
      <c r="B27" s="3" t="str">
        <f>IF($L27="","",INDEX(Плата!$B:$B,$L27)&amp;"")</f>
        <v>R304</v>
      </c>
      <c r="C27" s="3" t="str">
        <f>IF($L27="","",INDEX(Плата!$P:$P,$L27)&amp;"")</f>
        <v>Panasonic ERA-6AEB224V (220 кОм 0.1 % 25 ppm/K 0805, точний MPN)</v>
      </c>
      <c r="D27" s="10">
        <f>IF($L27="","",INDEX(Плата!$L:$L,$L27))</f>
        <v>20</v>
      </c>
      <c r="E27" s="11" t="str">
        <f>IF($L27="","",INDEX(Плата!$G:$G,$L27)&amp;"")</f>
        <v>шт</v>
      </c>
      <c r="F27" s="12">
        <f>IF($L27="","",INDEX(Плата!$R:$R,$L27))</f>
        <v>5.12</v>
      </c>
      <c r="G27" s="13">
        <f>IF($L27="","",INDEX(Плата!$S:$S,$L27))</f>
        <v>102.4</v>
      </c>
      <c r="H27" s="11" t="str">
        <f>IF($L27="","",INDEX(Плата!$Q:$Q,$L27)&amp;"")</f>
        <v>в наявності</v>
      </c>
      <c r="I27" s="14" t="str">
        <f>IF($L27="","",IF(INDEX(Плата!$AI:$AI,$L27)="","",HYPERLINK(INDEX(Плата!$AI:$AI,$L27),"відкрити")))</f>
        <v>відкрити</v>
      </c>
      <c r="J27" s="3" t="str">
        <f>IF($L27="","",INDEX(Плата!$U:$U,$L27)&amp;"")</f>
        <v>IMRAD: «Є в наявності, на складі» (кількість не показано); ціна від 10 шт (1 шт: 5.86)</v>
      </c>
      <c r="K27" s="11">
        <f>IFERROR(SMALL(Плата!$AJ$6:$AJ$44,23),"")</f>
        <v>1031</v>
      </c>
      <c r="L27" s="11">
        <f t="shared" si="0"/>
        <v>31</v>
      </c>
    </row>
    <row r="28" spans="1:12" x14ac:dyDescent="0.3">
      <c r="A28" s="8" t="str">
        <f>IF($L28="","",INDEX(Плата!$O:$O,$L28)&amp;"")</f>
        <v>IMRAD</v>
      </c>
      <c r="B28" s="3" t="str">
        <f>IF($L28="","",INDEX(Плата!$B:$B,$L28)&amp;"")</f>
        <v>R307, R502, R503, R510</v>
      </c>
      <c r="C28" s="3" t="str">
        <f>IF($L28="","",INDEX(Плата!$P:$P,$L28)&amp;"")</f>
        <v>Yageo RC0603FR-071KL (1 кОм 1 %), упаковка 100 шт</v>
      </c>
      <c r="D28" s="10">
        <f>IF($L28="","",INDEX(Плата!$L:$L,$L28))</f>
        <v>100</v>
      </c>
      <c r="E28" s="11" t="str">
        <f>IF($L28="","",INDEX(Плата!$G:$G,$L28)&amp;"")</f>
        <v>шт</v>
      </c>
      <c r="F28" s="12">
        <f>IF($L28="","",INDEX(Плата!$R:$R,$L28))</f>
        <v>0.13750000000000001</v>
      </c>
      <c r="G28" s="13">
        <f>IF($L28="","",INDEX(Плата!$S:$S,$L28))</f>
        <v>13.750000000000002</v>
      </c>
      <c r="H28" s="11" t="str">
        <f>IF($L28="","",INDEX(Плата!$Q:$Q,$L28)&amp;"")</f>
        <v>в наявності</v>
      </c>
      <c r="I28" s="14" t="str">
        <f>IF($L28="","",IF(INDEX(Плата!$AI:$AI,$L28)="","",HYPERLINK(INDEX(Плата!$AI:$AI,$L28),"відкрити")))</f>
        <v>відкрити</v>
      </c>
      <c r="J28" s="3" t="str">
        <f>IF($L28="","",INDEX(Плата!$U:$U,$L28)&amp;"")</f>
        <v>IMRAD: «Є в наявності, на складі» (кількість не показано); 13.75 грн за 100 шт (від 5 уп.: 11.34, від 10: 9.45); ціна в рядку - за 1 шт</v>
      </c>
      <c r="K28" s="11">
        <f>IFERROR(SMALL(Плата!$AJ$6:$AJ$44,24),"")</f>
        <v>1033</v>
      </c>
      <c r="L28" s="11">
        <f t="shared" si="0"/>
        <v>33</v>
      </c>
    </row>
    <row r="29" spans="1:12" x14ac:dyDescent="0.3">
      <c r="A29" s="8" t="str">
        <f>IF($L29="","",INDEX(Плата!$O:$O,$L29)&amp;"")</f>
        <v>IMRAD</v>
      </c>
      <c r="B29" s="3" t="str">
        <f>IF($L29="","",INDEX(Плата!$B:$B,$L29)&amp;"")</f>
        <v>R504, R505</v>
      </c>
      <c r="C29" s="3" t="str">
        <f>IF($L29="","",INDEX(Плата!$P:$P,$L29)&amp;"")</f>
        <v>Royal Ohm 0603SAF4701T5E (4.7 кОм 1 %; на сайті SMD0603-4K7-1%), упаковка 100 шт</v>
      </c>
      <c r="D29" s="10">
        <f>IF($L29="","",INDEX(Плата!$L:$L,$L29))</f>
        <v>100</v>
      </c>
      <c r="E29" s="11" t="str">
        <f>IF($L29="","",INDEX(Плата!$G:$G,$L29)&amp;"")</f>
        <v>шт</v>
      </c>
      <c r="F29" s="12">
        <f>IF($L29="","",INDEX(Плата!$R:$R,$L29))</f>
        <v>0.1517</v>
      </c>
      <c r="G29" s="13">
        <f>IF($L29="","",INDEX(Плата!$S:$S,$L29))</f>
        <v>15.17</v>
      </c>
      <c r="H29" s="11" t="str">
        <f>IF($L29="","",INDEX(Плата!$Q:$Q,$L29)&amp;"")</f>
        <v>в наявності</v>
      </c>
      <c r="I29" s="14" t="str">
        <f>IF($L29="","",IF(INDEX(Плата!$AI:$AI,$L29)="","",HYPERLINK(INDEX(Плата!$AI:$AI,$L29),"відкрити")))</f>
        <v>відкрити</v>
      </c>
      <c r="J29" s="3" t="str">
        <f>IF($L29="","",INDEX(Плата!$U:$U,$L29)&amp;"")</f>
        <v>IMRAD: «Є в наявності, на складі» (кількість не показано); 15.17 грн за 100 шт (від 5 уп.: 14.30, від 10: 13.50); ціна в рядку - за 1 шт</v>
      </c>
      <c r="K29" s="11">
        <f>IFERROR(SMALL(Плата!$AJ$6:$AJ$44,25),"")</f>
        <v>1034</v>
      </c>
      <c r="L29" s="11">
        <f t="shared" si="0"/>
        <v>34</v>
      </c>
    </row>
    <row r="30" spans="1:12" x14ac:dyDescent="0.3">
      <c r="A30" s="8" t="str">
        <f>IF($L30="","",INDEX(Плата!$O:$O,$L30)&amp;"")</f>
        <v>IMRAD</v>
      </c>
      <c r="B30" s="3" t="str">
        <f>IF($L30="","",INDEX(Плата!$B:$B,$L30)&amp;"")</f>
        <v>R506, R508, R509</v>
      </c>
      <c r="C30" s="3" t="str">
        <f>IF($L30="","",INDEX(Плата!$P:$P,$L30)&amp;"")</f>
        <v>Yageo AC0603FR-07100KL (100 кОм 1 %), упаковка 100 шт</v>
      </c>
      <c r="D30" s="10">
        <f>IF($L30="","",INDEX(Плата!$L:$L,$L30))</f>
        <v>100</v>
      </c>
      <c r="E30" s="11" t="str">
        <f>IF($L30="","",INDEX(Плата!$G:$G,$L30)&amp;"")</f>
        <v>шт</v>
      </c>
      <c r="F30" s="12">
        <f>IF($L30="","",INDEX(Плата!$R:$R,$L30))</f>
        <v>0.18079999999999999</v>
      </c>
      <c r="G30" s="13">
        <f>IF($L30="","",INDEX(Плата!$S:$S,$L30))</f>
        <v>18.079999999999998</v>
      </c>
      <c r="H30" s="11" t="str">
        <f>IF($L30="","",INDEX(Плата!$Q:$Q,$L30)&amp;"")</f>
        <v>в наявності</v>
      </c>
      <c r="I30" s="14" t="str">
        <f>IF($L30="","",IF(INDEX(Плата!$AI:$AI,$L30)="","",HYPERLINK(INDEX(Плата!$AI:$AI,$L30),"відкрити")))</f>
        <v>відкрити</v>
      </c>
      <c r="J30" s="3" t="str">
        <f>IF($L30="","",INDEX(Плата!$U:$U,$L30)&amp;"")</f>
        <v>IMRAD: «Є в наявності, на складі» (кількість не показано); 18.08 грн за 100 шт (від 5 уп.: 17.68, від 10: 16.90); ціна в рядку - за 1 шт</v>
      </c>
      <c r="K30" s="11">
        <f>IFERROR(SMALL(Плата!$AJ$6:$AJ$44,26),"")</f>
        <v>1035</v>
      </c>
      <c r="L30" s="11">
        <f t="shared" si="0"/>
        <v>35</v>
      </c>
    </row>
    <row r="31" spans="1:12" x14ac:dyDescent="0.3">
      <c r="A31" s="8" t="str">
        <f>IF($L31="","",INDEX(Плата!$O:$O,$L31)&amp;"")</f>
        <v>IMRAD</v>
      </c>
      <c r="B31" s="3" t="str">
        <f>IF($L31="","",INDEX(Плата!$B:$B,$L31)&amp;"")</f>
        <v>R511</v>
      </c>
      <c r="C31" s="3" t="str">
        <f>IF($L31="","",INDEX(Плата!$P:$P,$L31)&amp;"")</f>
        <v>Yageo RC2512JK-074R7L (4.7 Ом 5 % 2512 1 Вт, точний MPN)</v>
      </c>
      <c r="D31" s="10">
        <f>IF($L31="","",INDEX(Плата!$L:$L,$L31))</f>
        <v>10</v>
      </c>
      <c r="E31" s="11" t="str">
        <f>IF($L31="","",INDEX(Плата!$G:$G,$L31)&amp;"")</f>
        <v>шт</v>
      </c>
      <c r="F31" s="12">
        <f>IF($L31="","",INDEX(Плата!$R:$R,$L31))</f>
        <v>1.34</v>
      </c>
      <c r="G31" s="13">
        <f>IF($L31="","",INDEX(Плата!$S:$S,$L31))</f>
        <v>13.4</v>
      </c>
      <c r="H31" s="11" t="str">
        <f>IF($L31="","",INDEX(Плата!$Q:$Q,$L31)&amp;"")</f>
        <v>в наявності</v>
      </c>
      <c r="I31" s="14" t="str">
        <f>IF($L31="","",IF(INDEX(Плата!$AI:$AI,$L31)="","",HYPERLINK(INDEX(Плата!$AI:$AI,$L31),"відкрити")))</f>
        <v>відкрити</v>
      </c>
      <c r="J31" s="3" t="str">
        <f>IF($L31="","",INDEX(Плата!$U:$U,$L31)&amp;"")</f>
        <v>IMRAD: «Є в наявності, на складі» (кількість не показано); ціна від 10 шт (1 шт: 1.58, від 100: 1.04)</v>
      </c>
      <c r="K31" s="11">
        <f>IFERROR(SMALL(Плата!$AJ$6:$AJ$44,27),"")</f>
        <v>1036</v>
      </c>
      <c r="L31" s="11">
        <f t="shared" si="0"/>
        <v>36</v>
      </c>
    </row>
    <row r="32" spans="1:12" x14ac:dyDescent="0.3">
      <c r="A32" s="8" t="str">
        <f>IF($L32="","",INDEX(Плата!$O:$O,$L32)&amp;"")</f>
        <v>IMRAD</v>
      </c>
      <c r="B32" s="3" t="str">
        <f>IF($L32="","",INDEX(Плата!$B:$B,$L32)&amp;"")</f>
        <v>R512</v>
      </c>
      <c r="C32" s="3" t="str">
        <f>IF($L32="","",INDEX(Плата!$P:$P,$L32)&amp;"")</f>
        <v>Royal Ohm 1206S4F1002T5E (10 кОм 1 % 1206), упаковка 100 шт</v>
      </c>
      <c r="D32" s="10">
        <f>IF($L32="","",INDEX(Плата!$L:$L,$L32))</f>
        <v>100</v>
      </c>
      <c r="E32" s="11" t="str">
        <f>IF($L32="","",INDEX(Плата!$G:$G,$L32)&amp;"")</f>
        <v>шт</v>
      </c>
      <c r="F32" s="12">
        <f>IF($L32="","",INDEX(Плата!$R:$R,$L32))</f>
        <v>0.28079999999999999</v>
      </c>
      <c r="G32" s="13">
        <f>IF($L32="","",INDEX(Плата!$S:$S,$L32))</f>
        <v>28.08</v>
      </c>
      <c r="H32" s="11" t="str">
        <f>IF($L32="","",INDEX(Плата!$Q:$Q,$L32)&amp;"")</f>
        <v>в наявності</v>
      </c>
      <c r="I32" s="14" t="str">
        <f>IF($L32="","",IF(INDEX(Плата!$AI:$AI,$L32)="","",HYPERLINK(INDEX(Плата!$AI:$AI,$L32),"відкрити")))</f>
        <v>відкрити</v>
      </c>
      <c r="J32" s="3" t="str">
        <f>IF($L32="","",INDEX(Плата!$U:$U,$L32)&amp;"")</f>
        <v>IMRAD: «Є в наявності, на складі» (кількість не показано); 28.08 грн за 100 шт (від 5 уп.: 22.68, від 10: 18.90); ціна в рядку - за 1 шт</v>
      </c>
      <c r="K32" s="11">
        <f>IFERROR(SMALL(Плата!$AJ$6:$AJ$44,28),"")</f>
        <v>1037</v>
      </c>
      <c r="L32" s="11">
        <f t="shared" si="0"/>
        <v>37</v>
      </c>
    </row>
    <row r="33" spans="1:12" x14ac:dyDescent="0.3">
      <c r="A33" s="8" t="str">
        <f>IF($L33="","",INDEX(Плата!$O:$O,$L33)&amp;"")</f>
        <v>IMRAD</v>
      </c>
      <c r="B33" s="3" t="str">
        <f>IF($L33="","",INDEX(Плата!$B:$B,$L33)&amp;"")</f>
        <v>U203</v>
      </c>
      <c r="C33" s="3" t="str">
        <f>IF($L33="","",INDEX(Плата!$P:$P,$L33)&amp;"")</f>
        <v>ST USBLC6-2SC6 (точний MPN)</v>
      </c>
      <c r="D33" s="10">
        <f>IF($L33="","",INDEX(Плата!$L:$L,$L33))</f>
        <v>10</v>
      </c>
      <c r="E33" s="11" t="str">
        <f>IF($L33="","",INDEX(Плата!$G:$G,$L33)&amp;"")</f>
        <v>шт</v>
      </c>
      <c r="F33" s="12">
        <f>IF($L33="","",INDEX(Плата!$R:$R,$L33))</f>
        <v>10.84</v>
      </c>
      <c r="G33" s="13">
        <f>IF($L33="","",INDEX(Плата!$S:$S,$L33))</f>
        <v>108.4</v>
      </c>
      <c r="H33" s="11" t="str">
        <f>IF($L33="","",INDEX(Плата!$Q:$Q,$L33)&amp;"")</f>
        <v>в наявності</v>
      </c>
      <c r="I33" s="14" t="str">
        <f>IF($L33="","",IF(INDEX(Плата!$AI:$AI,$L33)="","",HYPERLINK(INDEX(Плата!$AI:$AI,$L33),"відкрити")))</f>
        <v>відкрити</v>
      </c>
      <c r="J33" s="3" t="str">
        <f>IF($L33="","",INDEX(Плата!$U:$U,$L33)&amp;"")</f>
        <v>IMRAD: «Є в наявності, на складі» (кількість не показано); ціна від 10 шт (1 шт: 11.50, від 35: 10.38)</v>
      </c>
      <c r="K33" s="11">
        <f>IFERROR(SMALL(Плата!$AJ$6:$AJ$44,29),"")</f>
        <v>1042</v>
      </c>
      <c r="L33" s="11">
        <f t="shared" si="0"/>
        <v>42</v>
      </c>
    </row>
    <row r="34" spans="1:12" x14ac:dyDescent="0.3">
      <c r="A34" s="8" t="str">
        <f>IF($L34="","",INDEX(Плата!$O:$O,$L34)&amp;"")</f>
        <v>VD MAIS</v>
      </c>
      <c r="B34" s="3" t="str">
        <f>IF($L34="","",INDEX(Плата!$B:$B,$L34)&amp;"")</f>
        <v>F501</v>
      </c>
      <c r="C34" s="3" t="str">
        <f>IF($L34="","",INDEX(Плата!$P:$P,$L34)&amp;"")</f>
        <v>Littelfuse 0466.250NRHF (точний MPN), Digi-Key через VD MAIS</v>
      </c>
      <c r="D34" s="10">
        <f>IF($L34="","",INDEX(Плата!$L:$L,$L34))</f>
        <v>10</v>
      </c>
      <c r="E34" s="11" t="str">
        <f>IF($L34="","",INDEX(Плата!$G:$G,$L34)&amp;"")</f>
        <v>шт</v>
      </c>
      <c r="F34" s="12">
        <f>IF($L34="","",INDEX(Плата!$R:$R,$L34))</f>
        <v>71.435999999999993</v>
      </c>
      <c r="G34" s="13">
        <f>IF($L34="","",INDEX(Плата!$S:$S,$L34))</f>
        <v>714.3599999999999</v>
      </c>
      <c r="H34" s="11" t="str">
        <f>IF($L34="","",INDEX(Плата!$Q:$Q,$L34)&amp;"")</f>
        <v>під замовлення</v>
      </c>
      <c r="I34" s="14" t="str">
        <f>IF($L34="","",IF(INDEX(Плата!$AI:$AI,$L34)="","",HYPERLINK(INDEX(Плата!$AI:$AI,$L34),"відкрити")))</f>
        <v>відкрити</v>
      </c>
      <c r="J34" s="3" t="str">
        <f>IF($L34="","",INDEX(Плата!$U:$U,$L34)&amp;"")</f>
        <v>Digi-Key F5692CT-ND: 5812 шт, 3 тижні; ціна від 5 шт 59.53 грн без ПДВ (1 шт: 59.66), дані API VD MAIS; в IMRAD немає (0466.250NR - немає, 0451.250MRL - під замовлення). Замовляти разом з U101</v>
      </c>
      <c r="K34" s="11">
        <f>IFERROR(SMALL(Плата!$AJ$6:$AJ$44,30),"")</f>
        <v>2017</v>
      </c>
      <c r="L34" s="11">
        <f t="shared" si="0"/>
        <v>17</v>
      </c>
    </row>
    <row r="35" spans="1:12" x14ac:dyDescent="0.3">
      <c r="A35" s="8" t="str">
        <f>IF($L35="","",INDEX(Плата!$O:$O,$L35)&amp;"")</f>
        <v>VD MAIS</v>
      </c>
      <c r="B35" s="3" t="str">
        <f>IF($L35="","",INDEX(Плата!$B:$B,$L35)&amp;"")</f>
        <v>L101</v>
      </c>
      <c r="C35" s="3" t="str">
        <f>IF($L35="","",INDEX(Плата!$P:$P,$L35)&amp;"")</f>
        <v>Bourns SRN6045-220M (точний MPN)</v>
      </c>
      <c r="D35" s="10">
        <f>IF($L35="","",INDEX(Плата!$L:$L,$L35))</f>
        <v>10</v>
      </c>
      <c r="E35" s="11" t="str">
        <f>IF($L35="","",INDEX(Плата!$G:$G,$L35)&amp;"")</f>
        <v>шт</v>
      </c>
      <c r="F35" s="12">
        <f>IF($L35="","",INDEX(Плата!$R:$R,$L35))</f>
        <v>12.27</v>
      </c>
      <c r="G35" s="13">
        <f>IF($L35="","",INDEX(Плата!$S:$S,$L35))</f>
        <v>122.69999999999999</v>
      </c>
      <c r="H35" s="11" t="str">
        <f>IF($L35="","",INDEX(Плата!$Q:$Q,$L35)&amp;"")</f>
        <v>в наявності</v>
      </c>
      <c r="I35" s="14" t="str">
        <f>IF($L35="","",IF(INDEX(Плата!$AI:$AI,$L35)="","",HYPERLINK(INDEX(Плата!$AI:$AI,$L35),"відкрити")))</f>
        <v>відкрити</v>
      </c>
      <c r="J35" s="3" t="str">
        <f>IF($L35="","",INDEX(Плата!$U:$U,$L35)&amp;"")</f>
        <v>власний склад VD MAIS: 370 шт, строк 0 тижнів; в IMRAD 22 мкГн з Isat &gt;= 1.6 А немає</v>
      </c>
      <c r="K35" s="11">
        <f>IFERROR(SMALL(Плата!$AJ$6:$AJ$44,31),"")</f>
        <v>2022</v>
      </c>
      <c r="L35" s="11">
        <f t="shared" si="0"/>
        <v>22</v>
      </c>
    </row>
    <row r="36" spans="1:12" x14ac:dyDescent="0.3">
      <c r="A36" s="8" t="str">
        <f>IF($L36="","",INDEX(Плата!$O:$O,$L36)&amp;"")</f>
        <v>VD MAIS</v>
      </c>
      <c r="B36" s="3" t="str">
        <f>IF($L36="","",INDEX(Плата!$B:$B,$L36)&amp;"")</f>
        <v>R305</v>
      </c>
      <c r="C36" s="3" t="str">
        <f>IF($L36="","",INDEX(Плата!$P:$P,$L36)&amp;"")</f>
        <v>Yageo RT0603BRD0710KL (точний MPN)</v>
      </c>
      <c r="D36" s="10">
        <f>IF($L36="","",INDEX(Плата!$L:$L,$L36))</f>
        <v>10</v>
      </c>
      <c r="E36" s="11" t="str">
        <f>IF($L36="","",INDEX(Плата!$G:$G,$L36)&amp;"")</f>
        <v>шт</v>
      </c>
      <c r="F36" s="12">
        <f>IF($L36="","",INDEX(Плата!$R:$R,$L36))</f>
        <v>2.0699999999999998</v>
      </c>
      <c r="G36" s="13">
        <f>IF($L36="","",INDEX(Плата!$S:$S,$L36))</f>
        <v>20.7</v>
      </c>
      <c r="H36" s="11" t="str">
        <f>IF($L36="","",INDEX(Плата!$Q:$Q,$L36)&amp;"")</f>
        <v>в наявності</v>
      </c>
      <c r="I36" s="14" t="str">
        <f>IF($L36="","",IF(INDEX(Плата!$AI:$AI,$L36)="","",HYPERLINK(INDEX(Плата!$AI:$AI,$L36),"відкрити")))</f>
        <v>відкрити</v>
      </c>
      <c r="J36" s="3" t="str">
        <f>IF($L36="","",INDEX(Плата!$U:$U,$L36)&amp;"")</f>
        <v>власний склад VD MAIS: 50 шт, строк 0 тижнів; ціна від 10 шт. В IMRAD лише 10.2 кОм 0.1 % (змінило б коефіцієнт дільника)</v>
      </c>
      <c r="K36" s="11">
        <f>IFERROR(SMALL(Плата!$AJ$6:$AJ$44,32),"")</f>
        <v>2032</v>
      </c>
      <c r="L36" s="11">
        <f t="shared" si="0"/>
        <v>32</v>
      </c>
    </row>
    <row r="37" spans="1:12" x14ac:dyDescent="0.3">
      <c r="A37" s="8" t="str">
        <f>IF($L37="","",INDEX(Плата!$O:$O,$L37)&amp;"")</f>
        <v>VD MAIS</v>
      </c>
      <c r="B37" s="3" t="str">
        <f>IF($L37="","",INDEX(Плата!$B:$B,$L37)&amp;"")</f>
        <v>U101</v>
      </c>
      <c r="C37" s="3" t="str">
        <f>IF($L37="","",INDEX(Плата!$P:$P,$L37)&amp;"")</f>
        <v>TI LMR38010SQDDARQ1 (Q1-версія LMR38010SDDAR), Digi-Key через VD MAIS</v>
      </c>
      <c r="D37" s="10">
        <f>IF($L37="","",INDEX(Плата!$L:$L,$L37))</f>
        <v>6</v>
      </c>
      <c r="E37" s="11" t="str">
        <f>IF($L37="","",INDEX(Плата!$G:$G,$L37)&amp;"")</f>
        <v>шт</v>
      </c>
      <c r="F37" s="12">
        <f>IF($L37="","",INDEX(Плата!$R:$R,$L37))</f>
        <v>302.18399999999997</v>
      </c>
      <c r="G37" s="13">
        <f>IF($L37="","",INDEX(Плата!$S:$S,$L37))</f>
        <v>1813.1039999999998</v>
      </c>
      <c r="H37" s="11" t="str">
        <f>IF($L37="","",INDEX(Плата!$Q:$Q,$L37)&amp;"")</f>
        <v>під замовлення</v>
      </c>
      <c r="I37" s="14" t="str">
        <f>IF($L37="","",IF(INDEX(Плата!$AI:$AI,$L37)="","",HYPERLINK(INDEX(Плата!$AI:$AI,$L37),"відкрити")))</f>
        <v>відкрити</v>
      </c>
      <c r="J37" s="3" t="str">
        <f>IF($L37="","",INDEX(Плата!$U:$U,$L37)&amp;"")</f>
        <v>Digi-Key 296-LMR38010SQDDARQ1CT-ND: 2220 шт, 3 тижні; 251.82 грн без ПДВ (від 10: 225.26), дані API VD MAIS. В IMRAD немає. Замовляти зараз разом з F501 і U301</v>
      </c>
      <c r="K37" s="11">
        <f>IFERROR(SMALL(Плата!$AJ$6:$AJ$44,33),"")</f>
        <v>2039</v>
      </c>
      <c r="L37" s="11">
        <f t="shared" si="0"/>
        <v>39</v>
      </c>
    </row>
    <row r="38" spans="1:12" x14ac:dyDescent="0.3">
      <c r="A38" s="8" t="str">
        <f>IF($L38="","",INDEX(Плата!$O:$O,$L38)&amp;"")</f>
        <v>VD MAIS</v>
      </c>
      <c r="B38" s="3" t="str">
        <f>IF($L38="","",INDEX(Плата!$B:$B,$L38)&amp;"")</f>
        <v>U202</v>
      </c>
      <c r="C38" s="3" t="str">
        <f>IF($L38="","",INDEX(Плата!$P:$P,$L38)&amp;"")</f>
        <v>TI TPS3808G33DBVR (точний MPN)</v>
      </c>
      <c r="D38" s="10">
        <f>IF($L38="","",INDEX(Плата!$L:$L,$L38))</f>
        <v>6</v>
      </c>
      <c r="E38" s="11" t="str">
        <f>IF($L38="","",INDEX(Плата!$G:$G,$L38)&amp;"")</f>
        <v>шт</v>
      </c>
      <c r="F38" s="12">
        <f>IF($L38="","",INDEX(Плата!$R:$R,$L38))</f>
        <v>84.42</v>
      </c>
      <c r="G38" s="13">
        <f>IF($L38="","",INDEX(Плата!$S:$S,$L38))</f>
        <v>506.52</v>
      </c>
      <c r="H38" s="11" t="str">
        <f>IF($L38="","",INDEX(Плата!$Q:$Q,$L38)&amp;"")</f>
        <v>в наявності</v>
      </c>
      <c r="I38" s="14" t="str">
        <f>IF($L38="","",IF(INDEX(Плата!$AI:$AI,$L38)="","",HYPERLINK(INDEX(Плата!$AI:$AI,$L38),"відкрити")))</f>
        <v>відкрити</v>
      </c>
      <c r="J38" s="3" t="str">
        <f>IF($L38="","",INDEX(Плата!$U:$U,$L38)&amp;"")</f>
        <v>власний склад VD MAIS: 227 шт, строк 0 тижнів</v>
      </c>
      <c r="K38" s="11">
        <f>IFERROR(SMALL(Плата!$AJ$6:$AJ$44,34),"")</f>
        <v>2041</v>
      </c>
      <c r="L38" s="11">
        <f t="shared" si="0"/>
        <v>41</v>
      </c>
    </row>
    <row r="39" spans="1:12" x14ac:dyDescent="0.3">
      <c r="A39" s="8" t="str">
        <f>IF($L39="","",INDEX(Плата!$O:$O,$L39)&amp;"")</f>
        <v>VD MAIS</v>
      </c>
      <c r="B39" s="3" t="str">
        <f>IF($L39="","",INDEX(Плата!$B:$B,$L39)&amp;"")</f>
        <v>U301</v>
      </c>
      <c r="C39" s="3" t="str">
        <f>IF($L39="","",INDEX(Плата!$P:$P,$L39)&amp;"")</f>
        <v>TI ADS1115IDGSR: 4 шт власний склад VD MAIS + 2 шт Digi-Key через VD MAIS</v>
      </c>
      <c r="D39" s="10">
        <f>IF($L39="","",INDEX(Плата!$L:$L,$L39))</f>
        <v>6</v>
      </c>
      <c r="E39" s="11" t="str">
        <f>IF($L39="","",INDEX(Плата!$G:$G,$L39)&amp;"")</f>
        <v>шт</v>
      </c>
      <c r="F39" s="12">
        <f>IF($L39="","",INDEX(Плата!$R:$R,$L39))</f>
        <v>282.01</v>
      </c>
      <c r="G39" s="13">
        <f>IF($L39="","",INDEX(Плата!$S:$S,$L39))</f>
        <v>1692.06</v>
      </c>
      <c r="H39" s="11" t="str">
        <f>IF($L39="","",INDEX(Плата!$Q:$Q,$L39)&amp;"")</f>
        <v>в наявності</v>
      </c>
      <c r="I39" s="14" t="str">
        <f>IF($L39="","",IF(INDEX(Плата!$AI:$AI,$L39)="","",HYPERLINK(INDEX(Плата!$AI:$AI,$L39),"відкрити")))</f>
        <v>відкрити</v>
      </c>
      <c r="J39" s="3" t="str">
        <f>IF($L39="","",INDEX(Плата!$U:$U,$L39)&amp;"")</f>
        <v>власний склад: 4 шт по 198.23 грн, строк 0 тижнів; решта 2 шт - Digi-Key 296-38849-1-ND (34304 шт, 3 тижні, 374.63 грн без ПДВ = 449.56 з ПДВ) у тому ж кошику VD MAIS. Ціна в рядку - середня для 6 шт ((4 x 198.23 + 2 x 449.56) / 6 = 282.01); для іншої кількості перерахувати</v>
      </c>
      <c r="K39" s="11">
        <f>IFERROR(SMALL(Плата!$AJ$6:$AJ$44,35),"")</f>
        <v>2043</v>
      </c>
      <c r="L39" s="11">
        <f t="shared" si="0"/>
        <v>43</v>
      </c>
    </row>
    <row r="40" spans="1:12" x14ac:dyDescent="0.3">
      <c r="A40" s="8" t="str">
        <f>IF($L40="","",INDEX(Плата!$O:$O,$L40)&amp;"")</f>
        <v/>
      </c>
      <c r="B40" s="3" t="str">
        <f>IF($L40="","",INDEX(Плата!$B:$B,$L40)&amp;"")</f>
        <v/>
      </c>
      <c r="C40" s="3" t="str">
        <f>IF($L40="","",INDEX(Плата!$P:$P,$L40)&amp;"")</f>
        <v/>
      </c>
      <c r="D40" s="10" t="str">
        <f>IF($L40="","",INDEX(Плата!$L:$L,$L40))</f>
        <v/>
      </c>
      <c r="E40" s="11" t="str">
        <f>IF($L40="","",INDEX(Плата!$G:$G,$L40)&amp;"")</f>
        <v/>
      </c>
      <c r="F40" s="12" t="str">
        <f>IF($L40="","",INDEX(Плата!$R:$R,$L40))</f>
        <v/>
      </c>
      <c r="G40" s="13" t="str">
        <f>IF($L40="","",INDEX(Плата!$S:$S,$L40))</f>
        <v/>
      </c>
      <c r="H40" s="11" t="str">
        <f>IF($L40="","",INDEX(Плата!$Q:$Q,$L40)&amp;"")</f>
        <v/>
      </c>
      <c r="I40" s="14" t="str">
        <f>IF($L40="","",IF(INDEX(Плата!$AI:$AI,$L40)="","",HYPERLINK(INDEX(Плата!$AI:$AI,$L40),"відкрити")))</f>
        <v/>
      </c>
      <c r="J40" s="3" t="str">
        <f>IF($L40="","",INDEX(Плата!$U:$U,$L40)&amp;"")</f>
        <v/>
      </c>
      <c r="K40" s="11" t="str">
        <f>IFERROR(SMALL(Плата!$AJ$6:$AJ$44,36),"")</f>
        <v/>
      </c>
      <c r="L40" s="11" t="str">
        <f t="shared" si="0"/>
        <v/>
      </c>
    </row>
    <row r="41" spans="1:12" x14ac:dyDescent="0.3">
      <c r="A41" s="8" t="str">
        <f>IF($L41="","",INDEX(Плата!$O:$O,$L41)&amp;"")</f>
        <v/>
      </c>
      <c r="B41" s="3" t="str">
        <f>IF($L41="","",INDEX(Плата!$B:$B,$L41)&amp;"")</f>
        <v/>
      </c>
      <c r="C41" s="3" t="str">
        <f>IF($L41="","",INDEX(Плата!$P:$P,$L41)&amp;"")</f>
        <v/>
      </c>
      <c r="D41" s="10" t="str">
        <f>IF($L41="","",INDEX(Плата!$L:$L,$L41))</f>
        <v/>
      </c>
      <c r="E41" s="11" t="str">
        <f>IF($L41="","",INDEX(Плата!$G:$G,$L41)&amp;"")</f>
        <v/>
      </c>
      <c r="F41" s="12" t="str">
        <f>IF($L41="","",INDEX(Плата!$R:$R,$L41))</f>
        <v/>
      </c>
      <c r="G41" s="13" t="str">
        <f>IF($L41="","",INDEX(Плата!$S:$S,$L41))</f>
        <v/>
      </c>
      <c r="H41" s="11" t="str">
        <f>IF($L41="","",INDEX(Плата!$Q:$Q,$L41)&amp;"")</f>
        <v/>
      </c>
      <c r="I41" s="14" t="str">
        <f>IF($L41="","",IF(INDEX(Плата!$AI:$AI,$L41)="","",HYPERLINK(INDEX(Плата!$AI:$AI,$L41),"відкрити")))</f>
        <v/>
      </c>
      <c r="J41" s="3" t="str">
        <f>IF($L41="","",INDEX(Плата!$U:$U,$L41)&amp;"")</f>
        <v/>
      </c>
      <c r="K41" s="11" t="str">
        <f>IFERROR(SMALL(Плата!$AJ$6:$AJ$44,37),"")</f>
        <v/>
      </c>
      <c r="L41" s="11" t="str">
        <f t="shared" si="0"/>
        <v/>
      </c>
    </row>
    <row r="42" spans="1:12" x14ac:dyDescent="0.3">
      <c r="A42" s="8" t="str">
        <f>IF($L42="","",INDEX(Плата!$O:$O,$L42)&amp;"")</f>
        <v/>
      </c>
      <c r="B42" s="3" t="str">
        <f>IF($L42="","",INDEX(Плата!$B:$B,$L42)&amp;"")</f>
        <v/>
      </c>
      <c r="C42" s="3" t="str">
        <f>IF($L42="","",INDEX(Плата!$P:$P,$L42)&amp;"")</f>
        <v/>
      </c>
      <c r="D42" s="10" t="str">
        <f>IF($L42="","",INDEX(Плата!$L:$L,$L42))</f>
        <v/>
      </c>
      <c r="E42" s="11" t="str">
        <f>IF($L42="","",INDEX(Плата!$G:$G,$L42)&amp;"")</f>
        <v/>
      </c>
      <c r="F42" s="12" t="str">
        <f>IF($L42="","",INDEX(Плата!$R:$R,$L42))</f>
        <v/>
      </c>
      <c r="G42" s="13" t="str">
        <f>IF($L42="","",INDEX(Плата!$S:$S,$L42))</f>
        <v/>
      </c>
      <c r="H42" s="11" t="str">
        <f>IF($L42="","",INDEX(Плата!$Q:$Q,$L42)&amp;"")</f>
        <v/>
      </c>
      <c r="I42" s="14" t="str">
        <f>IF($L42="","",IF(INDEX(Плата!$AI:$AI,$L42)="","",HYPERLINK(INDEX(Плата!$AI:$AI,$L42),"відкрити")))</f>
        <v/>
      </c>
      <c r="J42" s="3" t="str">
        <f>IF($L42="","",INDEX(Плата!$U:$U,$L42)&amp;"")</f>
        <v/>
      </c>
      <c r="K42" s="11" t="str">
        <f>IFERROR(SMALL(Плата!$AJ$6:$AJ$44,38),"")</f>
        <v/>
      </c>
      <c r="L42" s="11" t="str">
        <f t="shared" si="0"/>
        <v/>
      </c>
    </row>
    <row r="43" spans="1:12" x14ac:dyDescent="0.3">
      <c r="A43" s="8" t="str">
        <f>IF($L43="","",INDEX(Плата!$O:$O,$L43)&amp;"")</f>
        <v/>
      </c>
      <c r="B43" s="3" t="str">
        <f>IF($L43="","",INDEX(Плата!$B:$B,$L43)&amp;"")</f>
        <v/>
      </c>
      <c r="C43" s="3" t="str">
        <f>IF($L43="","",INDEX(Плата!$P:$P,$L43)&amp;"")</f>
        <v/>
      </c>
      <c r="D43" s="10" t="str">
        <f>IF($L43="","",INDEX(Плата!$L:$L,$L43))</f>
        <v/>
      </c>
      <c r="E43" s="11" t="str">
        <f>IF($L43="","",INDEX(Плата!$G:$G,$L43)&amp;"")</f>
        <v/>
      </c>
      <c r="F43" s="12" t="str">
        <f>IF($L43="","",INDEX(Плата!$R:$R,$L43))</f>
        <v/>
      </c>
      <c r="G43" s="13" t="str">
        <f>IF($L43="","",INDEX(Плата!$S:$S,$L43))</f>
        <v/>
      </c>
      <c r="H43" s="11" t="str">
        <f>IF($L43="","",INDEX(Плата!$Q:$Q,$L43)&amp;"")</f>
        <v/>
      </c>
      <c r="I43" s="14" t="str">
        <f>IF($L43="","",IF(INDEX(Плата!$AI:$AI,$L43)="","",HYPERLINK(INDEX(Плата!$AI:$AI,$L43),"відкрити")))</f>
        <v/>
      </c>
      <c r="J43" s="3" t="str">
        <f>IF($L43="","",INDEX(Плата!$U:$U,$L43)&amp;"")</f>
        <v/>
      </c>
      <c r="K43" s="11" t="str">
        <f>IFERROR(SMALL(Плата!$AJ$6:$AJ$44,39),"")</f>
        <v/>
      </c>
      <c r="L43" s="11" t="str">
        <f t="shared" si="0"/>
        <v/>
      </c>
    </row>
    <row r="44" spans="1:12" x14ac:dyDescent="0.3">
      <c r="F44" s="8" t="s">
        <v>64</v>
      </c>
      <c r="G44" s="13">
        <f>SUM(G5:G43)</f>
        <v>8328.7639999999992</v>
      </c>
    </row>
    <row r="46" spans="1:12" x14ac:dyDescent="0.3">
      <c r="A46" s="2" t="s">
        <v>65</v>
      </c>
    </row>
    <row r="47" spans="1:12" x14ac:dyDescent="0.3">
      <c r="A47" s="8" t="str">
        <f>IF(Набори!$E$5&gt;0,Набори!G5,"")</f>
        <v/>
      </c>
      <c r="B47" s="3"/>
      <c r="C47" s="3" t="str">
        <f>IF(Набори!$E$5&gt;0,Набори!B5,"")</f>
        <v/>
      </c>
      <c r="D47" s="10" t="str">
        <f>IF(Набори!$E$5&gt;0,Набори!E5,"")</f>
        <v/>
      </c>
      <c r="E47" s="11" t="str">
        <f>IF(Набори!$E$5&gt;0,"шт","")</f>
        <v/>
      </c>
      <c r="F47" s="15" t="str">
        <f>IF(Набори!$E$5&gt;0,Набори!K5,"")</f>
        <v/>
      </c>
      <c r="G47" s="13" t="str">
        <f>IF(Набори!$E$5&gt;0,Набори!L5,"")</f>
        <v/>
      </c>
      <c r="H47" s="11" t="str">
        <f>IF(Набори!$E$5&gt;0,Набори!H5,"")</f>
        <v/>
      </c>
      <c r="I47" s="14" t="str">
        <f>IF(Набори!$E$5&gt;0,HYPERLINK(Набори!O5,"відкрити"),"")</f>
        <v/>
      </c>
      <c r="J47" s="3"/>
    </row>
    <row r="48" spans="1:12" x14ac:dyDescent="0.3">
      <c r="F48" s="8" t="s">
        <v>66</v>
      </c>
      <c r="G48" s="13">
        <f>SUM(G47:G47)</f>
        <v>0</v>
      </c>
    </row>
    <row r="50" spans="1:12" ht="26.4" x14ac:dyDescent="0.3">
      <c r="A50" s="2" t="s">
        <v>67</v>
      </c>
    </row>
    <row r="51" spans="1:12" x14ac:dyDescent="0.3">
      <c r="A51" s="8" t="str">
        <f>IF($L51="","",INDEX('Поза платою'!$L:$L,$L51)&amp;"")</f>
        <v>IMRAD</v>
      </c>
      <c r="B51" s="3" t="str">
        <f>IF($L51="","",INDEX('Поза платою'!$B:$B,$L51)&amp;"")</f>
        <v>J503 B3B-XH-A</v>
      </c>
      <c r="C51" s="3" t="str">
        <f>IF($L51="","",INDEX('Поза платою'!$M:$M,$L51)&amp;"")</f>
        <v>JST XHP-3</v>
      </c>
      <c r="D51" s="10">
        <f>IF($L51="","",INDEX('Поза платою'!$K:$K,$L51))</f>
        <v>6</v>
      </c>
      <c r="E51" s="11" t="str">
        <f>IF($L51="","",INDEX('Поза платою'!$F:$F,$L51)&amp;"")</f>
        <v>шт</v>
      </c>
      <c r="F51" s="12">
        <f>IF($L51="","",INDEX('Поза платою'!$Q:$Q,$L51))</f>
        <v>2.16</v>
      </c>
      <c r="G51" s="13">
        <f>IF($L51="","",INDEX('Поза платою'!$R:$R,$L51))</f>
        <v>12.96</v>
      </c>
      <c r="H51" s="11" t="str">
        <f>IF($L51="","",INDEX('Поза платою'!$N:$N,$L51)&amp;"")</f>
        <v>в наявності</v>
      </c>
      <c r="I51" s="14" t="str">
        <f>IF($L51="","",IF(INDEX('Поза платою'!$Z:$Z,$L51)="","",HYPERLINK(INDEX('Поза платою'!$Z:$Z,$L51),"відкрити")))</f>
        <v>відкрити</v>
      </c>
      <c r="J51" s="3" t="str">
        <f>IF($L51="","",INDEX('Поза платою'!$V:$V,$L51)&amp;"")</f>
        <v>в наявності (кількість не показано)</v>
      </c>
      <c r="K51" s="11">
        <f>IFERROR(SMALL('Поза платою'!$AA$5:$AA$13,1),"")</f>
        <v>1006</v>
      </c>
      <c r="L51" s="11">
        <f t="shared" ref="L51:L59" si="1">IF(K51="","",MOD(K51,1000))</f>
        <v>6</v>
      </c>
    </row>
    <row r="52" spans="1:12" x14ac:dyDescent="0.3">
      <c r="A52" s="8" t="str">
        <f>IF($L52="","",INDEX('Поза платою'!$L:$L,$L52)&amp;"")</f>
        <v>IMRAD</v>
      </c>
      <c r="B52" s="3" t="str">
        <f>IF($L52="","",INDEX('Поза платою'!$B:$B,$L52)&amp;"")</f>
        <v>J504 B2B-XH-A</v>
      </c>
      <c r="C52" s="3" t="str">
        <f>IF($L52="","",INDEX('Поза платою'!$M:$M,$L52)&amp;"")</f>
        <v>JST XHP-2</v>
      </c>
      <c r="D52" s="10">
        <f>IF($L52="","",INDEX('Поза платою'!$K:$K,$L52))</f>
        <v>6</v>
      </c>
      <c r="E52" s="11" t="str">
        <f>IF($L52="","",INDEX('Поза платою'!$F:$F,$L52)&amp;"")</f>
        <v>шт</v>
      </c>
      <c r="F52" s="12">
        <f>IF($L52="","",INDEX('Поза платою'!$Q:$Q,$L52))</f>
        <v>1.72</v>
      </c>
      <c r="G52" s="13">
        <f>IF($L52="","",INDEX('Поза платою'!$R:$R,$L52))</f>
        <v>10.32</v>
      </c>
      <c r="H52" s="11" t="str">
        <f>IF($L52="","",INDEX('Поза платою'!$N:$N,$L52)&amp;"")</f>
        <v>в наявності</v>
      </c>
      <c r="I52" s="14" t="str">
        <f>IF($L52="","",IF(INDEX('Поза платою'!$Z:$Z,$L52)="","",HYPERLINK(INDEX('Поза платою'!$Z:$Z,$L52),"відкрити")))</f>
        <v>відкрити</v>
      </c>
      <c r="J52" s="3" t="str">
        <f>IF($L52="","",INDEX('Поза платою'!$V:$V,$L52)&amp;"")</f>
        <v>в наявності (кількість не показано)</v>
      </c>
      <c r="K52" s="11">
        <f>IFERROR(SMALL('Поза платою'!$AA$5:$AA$13,2),"")</f>
        <v>1007</v>
      </c>
      <c r="L52" s="11">
        <f t="shared" si="1"/>
        <v>7</v>
      </c>
    </row>
    <row r="53" spans="1:12" ht="26.4" x14ac:dyDescent="0.3">
      <c r="A53" s="8" t="str">
        <f>IF($L53="","",INDEX('Поза платою'!$L:$L,$L53)&amp;"")</f>
        <v>Космодром</v>
      </c>
      <c r="B53" s="3" t="str">
        <f>IF($L53="","",INDEX('Поза платою'!$B:$B,$L53)&amp;"")</f>
        <v>XHP-3 (3 шт) + XHP-2 (2 шт)</v>
      </c>
      <c r="C53" s="3" t="str">
        <f>IF($L53="","",INDEX('Поза платою'!$M:$M,$L53)&amp;"")</f>
        <v>JST SXH-001T-P0.6 (точний MPN)</v>
      </c>
      <c r="D53" s="10">
        <f>IF($L53="","",INDEX('Поза платою'!$K:$K,$L53))</f>
        <v>30</v>
      </c>
      <c r="E53" s="11" t="str">
        <f>IF($L53="","",INDEX('Поза платою'!$F:$F,$L53)&amp;"")</f>
        <v>шт</v>
      </c>
      <c r="F53" s="12">
        <f>IF($L53="","",INDEX('Поза платою'!$Q:$Q,$L53))</f>
        <v>2.4</v>
      </c>
      <c r="G53" s="13">
        <f>IF($L53="","",INDEX('Поза платою'!$R:$R,$L53))</f>
        <v>72</v>
      </c>
      <c r="H53" s="11" t="str">
        <f>IF($L53="","",INDEX('Поза платою'!$N:$N,$L53)&amp;"")</f>
        <v>в наявності</v>
      </c>
      <c r="I53" s="14" t="str">
        <f>IF($L53="","",IF(INDEX('Поза платою'!$Z:$Z,$L53)="","",HYPERLINK(INDEX('Поза платою'!$Z:$Z,$L53),"відкрити")))</f>
        <v>відкрити</v>
      </c>
      <c r="J53" s="3" t="str">
        <f>IF($L53="","",INDEX('Поза платою'!$V:$V,$L53)&amp;"")</f>
        <v>на складі 2499 шт</v>
      </c>
      <c r="K53" s="11">
        <f>IFERROR(SMALL('Поза платою'!$AA$5:$AA$13,3),"")</f>
        <v>3008</v>
      </c>
      <c r="L53" s="11">
        <f t="shared" si="1"/>
        <v>8</v>
      </c>
    </row>
    <row r="54" spans="1:12" ht="26.4" x14ac:dyDescent="0.3">
      <c r="A54" s="8" t="str">
        <f>IF($L54="","",INDEX('Поза платою'!$L:$L,$L54)&amp;"")</f>
        <v>Космодром</v>
      </c>
      <c r="B54" s="3" t="str">
        <f>IF($L54="","",INDEX('Поза платою'!$B:$B,$L54)&amp;"")</f>
        <v>H1-H4 (отвори 3.2 мм)</v>
      </c>
      <c r="C54" s="3" t="str">
        <f>IF($L54="","",INDEX('Поза платою'!$M:$M,$L54)&amp;"")</f>
        <v>PLFF-M3-10 (Nylon 66, M3, 10 мм, F-F)</v>
      </c>
      <c r="D54" s="10">
        <f>IF($L54="","",INDEX('Поза платою'!$K:$K,$L54))</f>
        <v>22</v>
      </c>
      <c r="E54" s="11" t="str">
        <f>IF($L54="","",INDEX('Поза платою'!$F:$F,$L54)&amp;"")</f>
        <v>шт</v>
      </c>
      <c r="F54" s="12">
        <f>IF($L54="","",INDEX('Поза платою'!$Q:$Q,$L54))</f>
        <v>4.2</v>
      </c>
      <c r="G54" s="13">
        <f>IF($L54="","",INDEX('Поза платою'!$R:$R,$L54))</f>
        <v>92.4</v>
      </c>
      <c r="H54" s="11" t="str">
        <f>IF($L54="","",INDEX('Поза платою'!$N:$N,$L54)&amp;"")</f>
        <v>в наявності</v>
      </c>
      <c r="I54" s="14" t="str">
        <f>IF($L54="","",IF(INDEX('Поза платою'!$Z:$Z,$L54)="","",HYPERLINK(INDEX('Поза платою'!$Z:$Z,$L54),"відкрити")))</f>
        <v>відкрити</v>
      </c>
      <c r="J54" s="3" t="str">
        <f>IF($L54="","",INDEX('Поза платою'!$V:$V,$L54)&amp;"")</f>
        <v>на складі 40597 шт; матеріал Nylon 66 94V-2</v>
      </c>
      <c r="K54" s="11">
        <f>IFERROR(SMALL('Поза платою'!$AA$5:$AA$13,4),"")</f>
        <v>3009</v>
      </c>
      <c r="L54" s="11">
        <f t="shared" si="1"/>
        <v>9</v>
      </c>
    </row>
    <row r="55" spans="1:12" ht="39.6" x14ac:dyDescent="0.3">
      <c r="A55" s="8" t="str">
        <f>IF($L55="","",INDEX('Поза платою'!$L:$L,$L55)&amp;"")</f>
        <v>РКС Компоненти</v>
      </c>
      <c r="B55" s="3" t="str">
        <f>IF($L55="","",INDEX('Поза платою'!$B:$B,$L55)&amp;"")</f>
        <v>H1-H4: плата - стійка (4) і стійка - корпус (4)</v>
      </c>
      <c r="C55" s="3" t="str">
        <f>IF($L55="","",INDEX('Поза платою'!$M:$M,$L55)&amp;"")</f>
        <v>KLS8-0318-PF-M3-06 (пластиковий M3x6, головка 5.5 мм)</v>
      </c>
      <c r="D55" s="10">
        <f>IF($L55="","",INDEX('Поза платою'!$K:$K,$L55))</f>
        <v>44</v>
      </c>
      <c r="E55" s="11" t="str">
        <f>IF($L55="","",INDEX('Поза платою'!$F:$F,$L55)&amp;"")</f>
        <v>шт</v>
      </c>
      <c r="F55" s="12">
        <f>IF($L55="","",INDEX('Поза платою'!$Q:$Q,$L55))</f>
        <v>1.7999999999999998</v>
      </c>
      <c r="G55" s="13">
        <f>IF($L55="","",INDEX('Поза платою'!$R:$R,$L55))</f>
        <v>79.199999999999989</v>
      </c>
      <c r="H55" s="11" t="str">
        <f>IF($L55="","",INDEX('Поза платою'!$N:$N,$L55)&amp;"")</f>
        <v>в наявності</v>
      </c>
      <c r="I55" s="14" t="str">
        <f>IF($L55="","",IF(INDEX('Поза платою'!$Z:$Z,$L55)="","",HYPERLINK(INDEX('Поза платою'!$Z:$Z,$L55),"відкрити")))</f>
        <v>відкрити</v>
      </c>
      <c r="J55" s="3" t="str">
        <f>IF($L55="","",INDEX('Поза платою'!$V:$V,$L55)&amp;"")</f>
        <v>у наявності 103 шт (Львів 98, Харків 5), очікується 20000 шт (дату не показано); 10+ по 2.00, 14+ по 1.50 грн без ПДВ</v>
      </c>
      <c r="K55" s="11">
        <f>IFERROR(SMALL('Поза платою'!$AA$5:$AA$13,5),"")</f>
        <v>4010</v>
      </c>
      <c r="L55" s="11">
        <f t="shared" si="1"/>
        <v>10</v>
      </c>
    </row>
    <row r="56" spans="1:12" ht="52.8" x14ac:dyDescent="0.3">
      <c r="A56" s="8" t="str">
        <f>IF($L56="","",INDEX('Поза платою'!$L:$L,$L56)&amp;"")</f>
        <v>РКС Компоненти</v>
      </c>
      <c r="B56" s="3" t="str">
        <f>IF($L56="","",INDEX('Поза платою'!$B:$B,$L56)&amp;"")</f>
        <v>H1-H4 під головку гвинта; обов'язково біля H3 (F101.2 за 4.45 мм)</v>
      </c>
      <c r="C56" s="3" t="str">
        <f>IF($L56="","",INDEX('Поза платою'!$M:$M,$L56)&amp;"")</f>
        <v>KangYang WS3-1.5 (пластик, 6 x 3.1 x 1.5 мм)</v>
      </c>
      <c r="D56" s="10">
        <f>IF($L56="","",INDEX('Поза платою'!$K:$K,$L56))</f>
        <v>22</v>
      </c>
      <c r="E56" s="11" t="str">
        <f>IF($L56="","",INDEX('Поза платою'!$F:$F,$L56)&amp;"")</f>
        <v>шт</v>
      </c>
      <c r="F56" s="12">
        <f>IF($L56="","",INDEX('Поза платою'!$Q:$Q,$L56))</f>
        <v>1.44</v>
      </c>
      <c r="G56" s="13">
        <f>IF($L56="","",INDEX('Поза платою'!$R:$R,$L56))</f>
        <v>31.68</v>
      </c>
      <c r="H56" s="11" t="str">
        <f>IF($L56="","",INDEX('Поза платою'!$N:$N,$L56)&amp;"")</f>
        <v>в наявності</v>
      </c>
      <c r="I56" s="14" t="str">
        <f>IF($L56="","",IF(INDEX('Поза платою'!$Z:$Z,$L56)="","",HYPERLINK(INDEX('Поза платою'!$Z:$Z,$L56),"відкрити")))</f>
        <v>відкрити</v>
      </c>
      <c r="J56" s="3" t="str">
        <f>IF($L56="","",INDEX('Поза платою'!$V:$V,$L56)&amp;"")</f>
        <v>у наявності 3323 шт; 14+ по 1.50, 17+ по 1.20 грн без ПДВ</v>
      </c>
      <c r="K56" s="11">
        <f>IFERROR(SMALL('Поза платою'!$AA$5:$AA$13,6),"")</f>
        <v>4011</v>
      </c>
      <c r="L56" s="11">
        <f t="shared" si="1"/>
        <v>11</v>
      </c>
    </row>
    <row r="57" spans="1:12" ht="66" x14ac:dyDescent="0.3">
      <c r="A57" s="8" t="str">
        <f>IF($L57="","",INDEX('Поза платою'!$L:$L,$L57)&amp;"")</f>
        <v>РКС Компоненти</v>
      </c>
      <c r="B57" s="3" t="str">
        <f>IF($L57="","",INDEX('Поза платою'!$B:$B,$L57)&amp;"")</f>
        <v>у тримач на проводі «+» батареї (C-01); F101 на платі - лише вторинний захист</v>
      </c>
      <c r="C57" s="3" t="str">
        <f>IF($L57="","",INDEX('Поза платою'!$M:$M,$L57)&amp;"")</f>
        <v>MTA MINIVAL 2A (AMFM-2A)</v>
      </c>
      <c r="D57" s="10">
        <f>IF($L57="","",INDEX('Поза платою'!$K:$K,$L57))</f>
        <v>10</v>
      </c>
      <c r="E57" s="11" t="str">
        <f>IF($L57="","",INDEX('Поза платою'!$F:$F,$L57)&amp;"")</f>
        <v>шт</v>
      </c>
      <c r="F57" s="12">
        <f>IF($L57="","",INDEX('Поза платою'!$Q:$Q,$L57))</f>
        <v>6</v>
      </c>
      <c r="G57" s="13">
        <f>IF($L57="","",INDEX('Поза платою'!$R:$R,$L57))</f>
        <v>60</v>
      </c>
      <c r="H57" s="11" t="str">
        <f>IF($L57="","",INDEX('Поза платою'!$N:$N,$L57)&amp;"")</f>
        <v>в наявності</v>
      </c>
      <c r="I57" s="14" t="str">
        <f>IF($L57="","",IF(INDEX('Поза платою'!$Z:$Z,$L57)="","",HYPERLINK(INDEX('Поза платою'!$Z:$Z,$L57),"відкрити")))</f>
        <v>відкрити</v>
      </c>
      <c r="J57" s="3" t="str">
        <f>IF($L57="","",INDEX('Поза платою'!$V:$V,$L57)&amp;"")</f>
        <v>у наявності 57 шт (Львів); 2+ по 10.00, 10+ по 5.00 грн без ПДВ; 32 В DC - з опису іншої пропозиції того самого MINIVAL 2A MTA на цій сторінці (у картці складу напруги немає): перевірити маркування</v>
      </c>
      <c r="K57" s="11">
        <f>IFERROR(SMALL('Поза платою'!$AA$5:$AA$13,7),"")</f>
        <v>4013</v>
      </c>
      <c r="L57" s="11">
        <f t="shared" si="1"/>
        <v>13</v>
      </c>
    </row>
    <row r="58" spans="1:12" ht="79.2" x14ac:dyDescent="0.3">
      <c r="A58" s="8" t="str">
        <f>IF($L58="","",INDEX('Поза платою'!$L:$L,$L58)&amp;"")</f>
        <v>Prom.ua - DIY mag</v>
      </c>
      <c r="B58" s="3" t="str">
        <f>IF($L58="","",INDEX('Поза платою'!$B:$B,$L58)&amp;"")</f>
        <v>J503 (кабель модуля в корпусі)</v>
      </c>
      <c r="C58" s="3" t="str">
        <f>IF($L58="","",INDEX('Поза платою'!$M:$M,$L58)&amp;"")</f>
        <v>Панельний LED вольтметр 0.28" 0-100V DC, 3-провідний</v>
      </c>
      <c r="D58" s="10">
        <f>IF($L58="","",INDEX('Поза платою'!$K:$K,$L58))</f>
        <v>5</v>
      </c>
      <c r="E58" s="11" t="str">
        <f>IF($L58="","",INDEX('Поза платою'!$F:$F,$L58)&amp;"")</f>
        <v>шт</v>
      </c>
      <c r="F58" s="12">
        <f>IF($L58="","",INDEX('Поза платою'!$Q:$Q,$L58))</f>
        <v>50</v>
      </c>
      <c r="G58" s="13">
        <f>IF($L58="","",INDEX('Поза платою'!$R:$R,$L58))</f>
        <v>250</v>
      </c>
      <c r="H58" s="11" t="str">
        <f>IF($L58="","",INDEX('Поза платою'!$N:$N,$L58)&amp;"")</f>
        <v>в наявності</v>
      </c>
      <c r="I58" s="14" t="str">
        <f>IF($L58="","",IF(INDEX('Поза платою'!$Z:$Z,$L58)="","",HYPERLINK(INDEX('Поза платою'!$Z:$Z,$L58),"відкрити")))</f>
        <v>відкрити</v>
      </c>
      <c r="J58" s="3" t="str">
        <f>IF($L58="","",INDEX('Поза платою'!$V:$V,$L58)&amp;"")</f>
        <v>сторінка: живлення DC 4-30 В («перевищення може пошкодити»), споживання &lt; 30 мА, колір індикатора випадковий; у 24 В системі під час вирівнюючого заряду (до 31 В) живлення на межі: перевірити на стенді (B6/B7)</v>
      </c>
      <c r="K58" s="11">
        <f>IFERROR(SMALL('Поза платою'!$AA$5:$AA$13,8),"")</f>
        <v>6005</v>
      </c>
      <c r="L58" s="11">
        <f t="shared" si="1"/>
        <v>5</v>
      </c>
    </row>
    <row r="59" spans="1:12" ht="39.6" x14ac:dyDescent="0.3">
      <c r="A59" s="8" t="str">
        <f>IF($L59="","",INDEX('Поза платою'!$L:$L,$L59)&amp;"")</f>
        <v>Prom.ua - Connectors</v>
      </c>
      <c r="B59" s="3" t="str">
        <f>IF($L59="","",INDEX('Поза платою'!$B:$B,$L59)&amp;"")</f>
        <v>провід батареї «+», не далі 0.2 м від затискача (C-01)</v>
      </c>
      <c r="C59" s="3" t="str">
        <f>IF($L59="","",INDEX('Поза платою'!$M:$M,$L59)&amp;"")</f>
        <v>Тримач автомобільного запобіжника міні з кабелем (вологозахисний, з кришкою)</v>
      </c>
      <c r="D59" s="10">
        <f>IF($L59="","",INDEX('Поза платою'!$K:$K,$L59))</f>
        <v>5</v>
      </c>
      <c r="E59" s="11" t="str">
        <f>IF($L59="","",INDEX('Поза платою'!$F:$F,$L59)&amp;"")</f>
        <v>шт</v>
      </c>
      <c r="F59" s="12">
        <f>IF($L59="","",INDEX('Поза платою'!$Q:$Q,$L59))</f>
        <v>40</v>
      </c>
      <c r="G59" s="13">
        <f>IF($L59="","",INDEX('Поза платою'!$R:$R,$L59))</f>
        <v>200</v>
      </c>
      <c r="H59" s="11" t="str">
        <f>IF($L59="","",INDEX('Поза платою'!$N:$N,$L59)&amp;"")</f>
        <v>в наявності</v>
      </c>
      <c r="I59" s="14" t="str">
        <f>IF($L59="","",IF(INDEX('Поза платою'!$Z:$Z,$L59)="","",HYPERLINK(INDEX('Поза платою'!$Z:$Z,$L59),"відкрити")))</f>
        <v>відкрити</v>
      </c>
      <c r="J59" s="3" t="str">
        <f>IF($L59="","",INDEX('Поза платою'!$V:$V,$L59)&amp;"")</f>
        <v>замовлення у продавця від 150 грн; переріз проводу на сторінці не вказано: перевірити</v>
      </c>
      <c r="K59" s="11">
        <f>IFERROR(SMALL('Поза платою'!$AA$5:$AA$13,9),"")</f>
        <v>7012</v>
      </c>
      <c r="L59" s="11">
        <f t="shared" si="1"/>
        <v>12</v>
      </c>
    </row>
    <row r="60" spans="1:12" ht="26.4" x14ac:dyDescent="0.3">
      <c r="F60" s="8" t="s">
        <v>68</v>
      </c>
      <c r="G60" s="13">
        <f>SUM(G51:G59)</f>
        <v>808.56</v>
      </c>
    </row>
    <row r="61" spans="1:12" x14ac:dyDescent="0.3">
      <c r="F61" s="8" t="s">
        <v>69</v>
      </c>
      <c r="G61" s="16">
        <f>G44+G48+G60</f>
        <v>9137.3239999999987</v>
      </c>
    </row>
    <row r="62" spans="1:12" ht="26.4" x14ac:dyDescent="0.3">
      <c r="C62" s="3" t="s">
        <v>70</v>
      </c>
    </row>
  </sheetData>
  <mergeCells count="2">
    <mergeCell ref="A1:J1"/>
    <mergeCell ref="A2:J2"/>
  </mergeCells>
  <conditionalFormatting sqref="A6:J43">
    <cfRule type="expression" dxfId="36" priority="2">
      <formula>AND($A6&lt;&gt;"",$A6&lt;&gt;$A5)</formula>
    </cfRule>
  </conditionalFormatting>
  <conditionalFormatting sqref="A52:J59">
    <cfRule type="expression" dxfId="35" priority="1">
      <formula>AND($A52&lt;&gt;"",$A52&lt;&gt;$A51)</formula>
    </cfRule>
  </conditionalFormatting>
  <conditionalFormatting sqref="H5:H59">
    <cfRule type="expression" dxfId="34" priority="3">
      <formula>$H5="в наявності"</formula>
    </cfRule>
    <cfRule type="expression" dxfId="33" priority="4">
      <formula>$H5="з набору"</formula>
    </cfRule>
    <cfRule type="expression" dxfId="32" priority="5">
      <formula>$H5="під замовлення"</formula>
    </cfRule>
    <cfRule type="expression" dxfId="31" priority="6">
      <formula>LEFT($H5,5)="немає"</formula>
    </cfRule>
    <cfRule type="expression" dxfId="30" priority="7">
      <formula>LEFT($H5,7)="набору "</formula>
    </cfRule>
    <cfRule type="expression" dxfId="29" priority="8">
      <formula>$H5="є у власника"</formula>
    </cfRule>
    <cfRule type="expression" dxfId="28" priority="9">
      <formula>$H5="не купується"</formula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  <pageSetUpPr fitToPage="1"/>
  </sheetPr>
  <dimension ref="A1:AJ46"/>
  <sheetViews>
    <sheetView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outlineLevelCol="1" x14ac:dyDescent="0.3"/>
  <cols>
    <col min="1" max="1" width="4" customWidth="1"/>
    <col min="2" max="2" width="18" customWidth="1"/>
    <col min="3" max="3" width="13" customWidth="1"/>
    <col min="4" max="4" width="20" customWidth="1"/>
    <col min="5" max="5" width="42" customWidth="1"/>
    <col min="6" max="7" width="7" customWidth="1"/>
    <col min="8" max="8" width="9" customWidth="1"/>
    <col min="9" max="9" width="7" customWidth="1"/>
    <col min="10" max="10" width="10" customWidth="1"/>
    <col min="11" max="11" width="7" customWidth="1"/>
    <col min="12" max="12" width="10" customWidth="1"/>
    <col min="13" max="13" width="9" customWidth="1"/>
    <col min="14" max="14" width="13" customWidth="1"/>
    <col min="15" max="15" width="18" customWidth="1"/>
    <col min="16" max="16" width="32" customWidth="1"/>
    <col min="17" max="17" width="13" customWidth="1"/>
    <col min="18" max="18" width="9" customWidth="1"/>
    <col min="19" max="20" width="10" customWidth="1"/>
    <col min="21" max="21" width="30" customWidth="1"/>
    <col min="22" max="22" width="9" hidden="1" customWidth="1" outlineLevel="1"/>
    <col min="23" max="23" width="10" hidden="1" customWidth="1" outlineLevel="1"/>
    <col min="24" max="24" width="8" hidden="1" customWidth="1" outlineLevel="1"/>
    <col min="25" max="25" width="7" hidden="1" customWidth="1" outlineLevel="1"/>
    <col min="26" max="26" width="11" hidden="1" customWidth="1" outlineLevel="1"/>
    <col min="27" max="27" width="10" hidden="1" customWidth="1" outlineLevel="1"/>
    <col min="28" max="28" width="40" hidden="1" customWidth="1" outlineLevel="1"/>
    <col min="29" max="30" width="10" hidden="1" customWidth="1" outlineLevel="1"/>
    <col min="31" max="31" width="8" hidden="1" customWidth="1" outlineLevel="1"/>
    <col min="32" max="32" width="13" hidden="1" customWidth="1" outlineLevel="1"/>
    <col min="33" max="33" width="40" hidden="1" customWidth="1" outlineLevel="1"/>
    <col min="34" max="34" width="28" hidden="1" customWidth="1" outlineLevel="1"/>
    <col min="35" max="35" width="20" hidden="1" customWidth="1" outlineLevel="1"/>
    <col min="36" max="36" width="9" hidden="1" customWidth="1" outlineLevel="1"/>
  </cols>
  <sheetData>
    <row r="1" spans="1:36" ht="19.95" customHeight="1" x14ac:dyDescent="0.3">
      <c r="A1" s="39" t="s">
        <v>71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36" ht="31.95" customHeight="1" x14ac:dyDescent="0.3">
      <c r="A2" s="40" t="s">
        <v>72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36" ht="31.95" customHeight="1" x14ac:dyDescent="0.3">
      <c r="A3" s="40" t="s">
        <v>73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36" x14ac:dyDescent="0.3">
      <c r="A4" s="42" t="s">
        <v>74</v>
      </c>
      <c r="B4" s="38"/>
      <c r="C4" s="38"/>
      <c r="D4" s="38"/>
      <c r="E4" s="38"/>
      <c r="F4" s="41" t="s">
        <v>75</v>
      </c>
      <c r="G4" s="38"/>
      <c r="H4" s="38"/>
      <c r="I4" s="38"/>
      <c r="J4" s="38"/>
      <c r="K4" s="38"/>
      <c r="L4" s="38"/>
      <c r="M4" s="38"/>
      <c r="N4" s="43" t="s">
        <v>76</v>
      </c>
      <c r="O4" s="38"/>
      <c r="P4" s="38"/>
      <c r="Q4" s="38"/>
      <c r="R4" s="38"/>
      <c r="S4" s="38"/>
      <c r="T4" s="38"/>
      <c r="U4" s="38"/>
      <c r="V4" s="44" t="s">
        <v>77</v>
      </c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</row>
    <row r="5" spans="1:36" ht="45" customHeight="1" x14ac:dyDescent="0.3">
      <c r="A5" s="6" t="s">
        <v>78</v>
      </c>
      <c r="B5" s="6" t="s">
        <v>79</v>
      </c>
      <c r="C5" s="6" t="s">
        <v>80</v>
      </c>
      <c r="D5" s="6" t="s">
        <v>81</v>
      </c>
      <c r="E5" s="6" t="s">
        <v>82</v>
      </c>
      <c r="F5" s="17" t="s">
        <v>83</v>
      </c>
      <c r="G5" s="17" t="s">
        <v>56</v>
      </c>
      <c r="H5" s="17" t="s">
        <v>84</v>
      </c>
      <c r="I5" s="17" t="s">
        <v>85</v>
      </c>
      <c r="J5" s="18" t="s">
        <v>86</v>
      </c>
      <c r="K5" s="18" t="s">
        <v>87</v>
      </c>
      <c r="L5" s="17" t="s">
        <v>88</v>
      </c>
      <c r="M5" s="17" t="s">
        <v>89</v>
      </c>
      <c r="N5" s="18" t="s">
        <v>90</v>
      </c>
      <c r="O5" s="18" t="s">
        <v>91</v>
      </c>
      <c r="P5" s="19" t="s">
        <v>92</v>
      </c>
      <c r="Q5" s="19" t="s">
        <v>59</v>
      </c>
      <c r="R5" s="19" t="s">
        <v>57</v>
      </c>
      <c r="S5" s="19" t="s">
        <v>58</v>
      </c>
      <c r="T5" s="19" t="s">
        <v>60</v>
      </c>
      <c r="U5" s="19" t="s">
        <v>93</v>
      </c>
      <c r="V5" s="20" t="s">
        <v>94</v>
      </c>
      <c r="W5" s="20" t="s">
        <v>95</v>
      </c>
      <c r="X5" s="20" t="s">
        <v>96</v>
      </c>
      <c r="Y5" s="20" t="s">
        <v>97</v>
      </c>
      <c r="Z5" s="20" t="s">
        <v>98</v>
      </c>
      <c r="AA5" s="20" t="s">
        <v>99</v>
      </c>
      <c r="AB5" s="20" t="s">
        <v>100</v>
      </c>
      <c r="AC5" s="20" t="s">
        <v>101</v>
      </c>
      <c r="AD5" s="20" t="s">
        <v>102</v>
      </c>
      <c r="AE5" s="20" t="s">
        <v>103</v>
      </c>
      <c r="AF5" s="20" t="s">
        <v>7</v>
      </c>
      <c r="AG5" s="20" t="s">
        <v>104</v>
      </c>
      <c r="AH5" s="20" t="s">
        <v>105</v>
      </c>
      <c r="AI5" s="20" t="s">
        <v>106</v>
      </c>
      <c r="AJ5" s="20" t="s">
        <v>107</v>
      </c>
    </row>
    <row r="6" spans="1:36" ht="52.8" x14ac:dyDescent="0.3">
      <c r="A6" s="11">
        <v>1</v>
      </c>
      <c r="B6" s="8" t="s">
        <v>108</v>
      </c>
      <c r="C6" s="3" t="s">
        <v>109</v>
      </c>
      <c r="D6" s="3" t="s">
        <v>110</v>
      </c>
      <c r="E6" s="3" t="s">
        <v>111</v>
      </c>
      <c r="F6" s="11">
        <v>1</v>
      </c>
      <c r="G6" s="11" t="s">
        <v>112</v>
      </c>
      <c r="H6" s="11">
        <f>F6*Інструкція!$C$5</f>
        <v>5</v>
      </c>
      <c r="I6" s="11">
        <f>IF(H6=0,0,MAX(ROUNDUP(H6*INDEX(Інструкція!$C$9:$C$13,MATCH(AF6,Інструкція!$B$9:$B$13,0)),0),INDEX(Інструкція!$D$9:$D$13,MATCH(AF6,Інструкція!$B$9:$B$13,0))))</f>
        <v>3</v>
      </c>
      <c r="J6" s="4">
        <v>10</v>
      </c>
      <c r="K6" s="4">
        <v>0</v>
      </c>
      <c r="L6" s="21">
        <f t="shared" ref="L6:L44" si="0">IF(N6&lt;&gt;"магазин",0,IF(MAX(0,MAX(H6+I6,J6)-K6)=0,0,MAX(X6,CEILING(MAX(0,MAX(H6+I6,J6)-K6),Y6))))</f>
        <v>10</v>
      </c>
      <c r="M6" s="11">
        <f>IF(N6="магазин",L6+K6-H6,IF(N6="книга резисторів 0603",(Набори!$D$5+Набори!$E$5)*Набори!$F$5-H6,""))</f>
        <v>5</v>
      </c>
      <c r="N6" s="4" t="s">
        <v>113</v>
      </c>
      <c r="O6" s="22" t="s">
        <v>114</v>
      </c>
      <c r="P6" s="3" t="s">
        <v>115</v>
      </c>
      <c r="Q6" s="11" t="s">
        <v>116</v>
      </c>
      <c r="R6" s="12">
        <f>IF(V6="","",IF(W6="без ПДВ",V6*(1+Інструкція!$C$6),V6))</f>
        <v>14.82</v>
      </c>
      <c r="S6" s="13">
        <f t="shared" ref="S6:S44" si="1">IF(L6=0,0,IF(R6="","",L6*R6))</f>
        <v>148.19999999999999</v>
      </c>
      <c r="T6" s="14" t="s">
        <v>117</v>
      </c>
      <c r="U6" s="3" t="s">
        <v>118</v>
      </c>
      <c r="V6" s="12">
        <v>14.82</v>
      </c>
      <c r="W6" s="11" t="s">
        <v>119</v>
      </c>
      <c r="X6" s="11">
        <v>1</v>
      </c>
      <c r="Y6" s="11">
        <v>1</v>
      </c>
      <c r="Z6" s="11" t="s">
        <v>120</v>
      </c>
      <c r="AA6" s="11" t="s">
        <v>121</v>
      </c>
      <c r="AB6" s="3" t="s">
        <v>122</v>
      </c>
      <c r="AC6" s="14" t="s">
        <v>117</v>
      </c>
      <c r="AD6" s="14" t="s">
        <v>123</v>
      </c>
      <c r="AE6" s="11"/>
      <c r="AF6" s="3" t="s">
        <v>11</v>
      </c>
      <c r="AG6" s="3" t="s">
        <v>124</v>
      </c>
      <c r="AH6" s="3" t="s">
        <v>125</v>
      </c>
      <c r="AI6" s="23" t="s">
        <v>126</v>
      </c>
      <c r="AJ6" s="11">
        <f>IF(L6&gt;0,IFERROR(MATCH(O6,Кошики!$A$2:$A$10,0),99)*1000+ROW(),"")</f>
        <v>1006</v>
      </c>
    </row>
    <row r="7" spans="1:36" ht="66" x14ac:dyDescent="0.3">
      <c r="A7" s="11">
        <v>2</v>
      </c>
      <c r="B7" s="8" t="s">
        <v>127</v>
      </c>
      <c r="C7" s="3" t="s">
        <v>128</v>
      </c>
      <c r="D7" s="3" t="s">
        <v>129</v>
      </c>
      <c r="E7" s="3" t="s">
        <v>130</v>
      </c>
      <c r="F7" s="11">
        <v>1</v>
      </c>
      <c r="G7" s="11" t="s">
        <v>112</v>
      </c>
      <c r="H7" s="11">
        <f>F7*Інструкція!$C$5</f>
        <v>5</v>
      </c>
      <c r="I7" s="11">
        <f>IF(H7=0,0,MAX(ROUNDUP(H7*INDEX(Інструкція!$C$9:$C$13,MATCH(AF7,Інструкція!$B$9:$B$13,0)),0),INDEX(Інструкція!$D$9:$D$13,MATCH(AF7,Інструкція!$B$9:$B$13,0))))</f>
        <v>3</v>
      </c>
      <c r="J7" s="4">
        <v>10</v>
      </c>
      <c r="K7" s="4">
        <v>0</v>
      </c>
      <c r="L7" s="21">
        <f t="shared" si="0"/>
        <v>10</v>
      </c>
      <c r="M7" s="11">
        <f>IF(N7="магазин",L7+K7-H7,IF(N7="книга резисторів 0603",(Набори!$D$5+Набори!$E$5)*Набори!$F$5-H7,""))</f>
        <v>5</v>
      </c>
      <c r="N7" s="4" t="s">
        <v>113</v>
      </c>
      <c r="O7" s="22" t="s">
        <v>114</v>
      </c>
      <c r="P7" s="3" t="s">
        <v>131</v>
      </c>
      <c r="Q7" s="11" t="s">
        <v>116</v>
      </c>
      <c r="R7" s="12">
        <f>IF(V7="","",IF(W7="без ПДВ",V7*(1+Інструкція!$C$6),V7))</f>
        <v>32.06</v>
      </c>
      <c r="S7" s="13">
        <f t="shared" si="1"/>
        <v>320.60000000000002</v>
      </c>
      <c r="T7" s="14" t="s">
        <v>117</v>
      </c>
      <c r="U7" s="3" t="s">
        <v>132</v>
      </c>
      <c r="V7" s="12">
        <v>32.06</v>
      </c>
      <c r="W7" s="11" t="s">
        <v>119</v>
      </c>
      <c r="X7" s="11">
        <v>1</v>
      </c>
      <c r="Y7" s="11">
        <v>1</v>
      </c>
      <c r="Z7" s="11" t="s">
        <v>120</v>
      </c>
      <c r="AA7" s="11" t="s">
        <v>121</v>
      </c>
      <c r="AB7" s="3" t="s">
        <v>133</v>
      </c>
      <c r="AC7" s="14" t="s">
        <v>117</v>
      </c>
      <c r="AD7" s="14" t="s">
        <v>123</v>
      </c>
      <c r="AE7" s="11"/>
      <c r="AF7" s="3" t="s">
        <v>11</v>
      </c>
      <c r="AG7" s="3" t="s">
        <v>134</v>
      </c>
      <c r="AH7" s="3" t="s">
        <v>135</v>
      </c>
      <c r="AI7" s="23" t="s">
        <v>136</v>
      </c>
      <c r="AJ7" s="11">
        <f>IF(L7&gt;0,IFERROR(MATCH(O7,Кошики!$A$2:$A$10,0),99)*1000+ROW(),"")</f>
        <v>1007</v>
      </c>
    </row>
    <row r="8" spans="1:36" ht="52.8" x14ac:dyDescent="0.3">
      <c r="A8" s="11">
        <v>3</v>
      </c>
      <c r="B8" s="8" t="s">
        <v>137</v>
      </c>
      <c r="C8" s="3" t="s">
        <v>138</v>
      </c>
      <c r="D8" s="3" t="s">
        <v>139</v>
      </c>
      <c r="E8" s="3" t="s">
        <v>140</v>
      </c>
      <c r="F8" s="11">
        <v>1</v>
      </c>
      <c r="G8" s="11" t="s">
        <v>112</v>
      </c>
      <c r="H8" s="11">
        <f>F8*Інструкція!$C$5</f>
        <v>5</v>
      </c>
      <c r="I8" s="11">
        <f>IF(H8=0,0,MAX(ROUNDUP(H8*INDEX(Інструкція!$C$9:$C$13,MATCH(AF8,Інструкція!$B$9:$B$13,0)),0),INDEX(Інструкція!$D$9:$D$13,MATCH(AF8,Інструкція!$B$9:$B$13,0))))</f>
        <v>3</v>
      </c>
      <c r="J8" s="4">
        <v>100</v>
      </c>
      <c r="K8" s="4">
        <v>0</v>
      </c>
      <c r="L8" s="21">
        <f t="shared" si="0"/>
        <v>100</v>
      </c>
      <c r="M8" s="11">
        <f>IF(N8="магазин",L8+K8-H8,IF(N8="книга резисторів 0603",(Набори!$D$5+Набори!$E$5)*Набори!$F$5-H8,""))</f>
        <v>95</v>
      </c>
      <c r="N8" s="4" t="s">
        <v>113</v>
      </c>
      <c r="O8" s="22" t="s">
        <v>114</v>
      </c>
      <c r="P8" s="3" t="s">
        <v>141</v>
      </c>
      <c r="Q8" s="11" t="s">
        <v>116</v>
      </c>
      <c r="R8" s="12">
        <f>IF(V8="","",IF(W8="без ПДВ",V8*(1+Інструкція!$C$6),V8))</f>
        <v>0.94</v>
      </c>
      <c r="S8" s="13">
        <f t="shared" si="1"/>
        <v>94</v>
      </c>
      <c r="T8" s="14" t="s">
        <v>117</v>
      </c>
      <c r="U8" s="3" t="s">
        <v>142</v>
      </c>
      <c r="V8" s="12">
        <v>0.94</v>
      </c>
      <c r="W8" s="11" t="s">
        <v>119</v>
      </c>
      <c r="X8" s="11">
        <v>1</v>
      </c>
      <c r="Y8" s="11">
        <v>1</v>
      </c>
      <c r="Z8" s="11" t="s">
        <v>120</v>
      </c>
      <c r="AA8" s="11" t="s">
        <v>121</v>
      </c>
      <c r="AB8" s="3" t="s">
        <v>143</v>
      </c>
      <c r="AC8" s="14" t="s">
        <v>117</v>
      </c>
      <c r="AD8" s="14" t="s">
        <v>123</v>
      </c>
      <c r="AE8" s="11"/>
      <c r="AF8" s="3" t="s">
        <v>11</v>
      </c>
      <c r="AG8" s="3" t="s">
        <v>144</v>
      </c>
      <c r="AH8" s="3" t="s">
        <v>145</v>
      </c>
      <c r="AI8" s="23" t="s">
        <v>146</v>
      </c>
      <c r="AJ8" s="11">
        <f>IF(L8&gt;0,IFERROR(MATCH(O8,Кошики!$A$2:$A$10,0),99)*1000+ROW(),"")</f>
        <v>1008</v>
      </c>
    </row>
    <row r="9" spans="1:36" ht="52.8" x14ac:dyDescent="0.3">
      <c r="A9" s="11">
        <v>4</v>
      </c>
      <c r="B9" s="8" t="s">
        <v>147</v>
      </c>
      <c r="C9" s="3" t="s">
        <v>148</v>
      </c>
      <c r="D9" s="3" t="s">
        <v>139</v>
      </c>
      <c r="E9" s="3" t="s">
        <v>149</v>
      </c>
      <c r="F9" s="11">
        <v>8</v>
      </c>
      <c r="G9" s="11" t="s">
        <v>112</v>
      </c>
      <c r="H9" s="11">
        <f>F9*Інструкція!$C$5</f>
        <v>40</v>
      </c>
      <c r="I9" s="11">
        <f>IF(H9=0,0,MAX(ROUNDUP(H9*INDEX(Інструкція!$C$9:$C$13,MATCH(AF9,Інструкція!$B$9:$B$13,0)),0),INDEX(Інструкція!$D$9:$D$13,MATCH(AF9,Інструкція!$B$9:$B$13,0))))</f>
        <v>8</v>
      </c>
      <c r="J9" s="4">
        <v>100</v>
      </c>
      <c r="K9" s="4">
        <v>0</v>
      </c>
      <c r="L9" s="21">
        <f t="shared" si="0"/>
        <v>100</v>
      </c>
      <c r="M9" s="11">
        <f>IF(N9="магазин",L9+K9-H9,IF(N9="книга резисторів 0603",(Набори!$D$5+Набори!$E$5)*Набори!$F$5-H9,""))</f>
        <v>60</v>
      </c>
      <c r="N9" s="4" t="s">
        <v>113</v>
      </c>
      <c r="O9" s="22" t="s">
        <v>114</v>
      </c>
      <c r="P9" s="3" t="s">
        <v>150</v>
      </c>
      <c r="Q9" s="11" t="s">
        <v>116</v>
      </c>
      <c r="R9" s="12">
        <f>IF(V9="","",IF(W9="без ПДВ",V9*(1+Інструкція!$C$6),V9))</f>
        <v>0.67</v>
      </c>
      <c r="S9" s="13">
        <f t="shared" si="1"/>
        <v>67</v>
      </c>
      <c r="T9" s="14" t="s">
        <v>117</v>
      </c>
      <c r="U9" s="3" t="s">
        <v>151</v>
      </c>
      <c r="V9" s="12">
        <v>0.67</v>
      </c>
      <c r="W9" s="11" t="s">
        <v>119</v>
      </c>
      <c r="X9" s="11">
        <v>1</v>
      </c>
      <c r="Y9" s="11">
        <v>1</v>
      </c>
      <c r="Z9" s="11" t="s">
        <v>120</v>
      </c>
      <c r="AA9" s="11" t="s">
        <v>121</v>
      </c>
      <c r="AB9" s="3" t="s">
        <v>152</v>
      </c>
      <c r="AC9" s="14" t="s">
        <v>117</v>
      </c>
      <c r="AD9" s="14" t="s">
        <v>123</v>
      </c>
      <c r="AE9" s="11"/>
      <c r="AF9" s="3" t="s">
        <v>11</v>
      </c>
      <c r="AG9" s="3" t="s">
        <v>153</v>
      </c>
      <c r="AH9" s="3" t="s">
        <v>154</v>
      </c>
      <c r="AI9" s="23" t="s">
        <v>155</v>
      </c>
      <c r="AJ9" s="11">
        <f>IF(L9&gt;0,IFERROR(MATCH(O9,Кошики!$A$2:$A$10,0),99)*1000+ROW(),"")</f>
        <v>1009</v>
      </c>
    </row>
    <row r="10" spans="1:36" ht="92.4" x14ac:dyDescent="0.3">
      <c r="A10" s="11">
        <v>5</v>
      </c>
      <c r="B10" s="8" t="s">
        <v>156</v>
      </c>
      <c r="C10" s="3" t="s">
        <v>157</v>
      </c>
      <c r="D10" s="3" t="s">
        <v>158</v>
      </c>
      <c r="E10" s="3" t="s">
        <v>159</v>
      </c>
      <c r="F10" s="11">
        <v>4</v>
      </c>
      <c r="G10" s="11" t="s">
        <v>112</v>
      </c>
      <c r="H10" s="11">
        <f>F10*Інструкція!$C$5</f>
        <v>20</v>
      </c>
      <c r="I10" s="11">
        <f>IF(H10=0,0,MAX(ROUNDUP(H10*INDEX(Інструкція!$C$9:$C$13,MATCH(AF10,Інструкція!$B$9:$B$13,0)),0),INDEX(Інструкція!$D$9:$D$13,MATCH(AF10,Інструкція!$B$9:$B$13,0))))</f>
        <v>4</v>
      </c>
      <c r="J10" s="4">
        <v>50</v>
      </c>
      <c r="K10" s="4">
        <v>0</v>
      </c>
      <c r="L10" s="21">
        <f t="shared" si="0"/>
        <v>50</v>
      </c>
      <c r="M10" s="11">
        <f>IF(N10="магазин",L10+K10-H10,IF(N10="книга резисторів 0603",(Набори!$D$5+Набори!$E$5)*Набори!$F$5-H10,""))</f>
        <v>30</v>
      </c>
      <c r="N10" s="4" t="s">
        <v>113</v>
      </c>
      <c r="O10" s="22" t="s">
        <v>114</v>
      </c>
      <c r="P10" s="3" t="s">
        <v>160</v>
      </c>
      <c r="Q10" s="11" t="s">
        <v>116</v>
      </c>
      <c r="R10" s="12">
        <f>IF(V10="","",IF(W10="без ПДВ",V10*(1+Інструкція!$C$6),V10))</f>
        <v>12.04</v>
      </c>
      <c r="S10" s="13">
        <f t="shared" si="1"/>
        <v>602</v>
      </c>
      <c r="T10" s="14" t="s">
        <v>117</v>
      </c>
      <c r="U10" s="3" t="s">
        <v>161</v>
      </c>
      <c r="V10" s="12">
        <v>12.04</v>
      </c>
      <c r="W10" s="11" t="s">
        <v>119</v>
      </c>
      <c r="X10" s="11">
        <v>1</v>
      </c>
      <c r="Y10" s="11">
        <v>1</v>
      </c>
      <c r="Z10" s="11" t="s">
        <v>120</v>
      </c>
      <c r="AA10" s="11" t="s">
        <v>121</v>
      </c>
      <c r="AB10" s="3" t="s">
        <v>162</v>
      </c>
      <c r="AC10" s="14" t="s">
        <v>117</v>
      </c>
      <c r="AD10" s="14" t="s">
        <v>123</v>
      </c>
      <c r="AE10" s="11"/>
      <c r="AF10" s="3" t="s">
        <v>11</v>
      </c>
      <c r="AG10" s="3" t="s">
        <v>163</v>
      </c>
      <c r="AH10" s="3" t="s">
        <v>164</v>
      </c>
      <c r="AI10" s="23" t="s">
        <v>165</v>
      </c>
      <c r="AJ10" s="11">
        <f>IF(L10&gt;0,IFERROR(MATCH(O10,Кошики!$A$2:$A$10,0),99)*1000+ROW(),"")</f>
        <v>1010</v>
      </c>
    </row>
    <row r="11" spans="1:36" ht="52.8" x14ac:dyDescent="0.3">
      <c r="A11" s="11">
        <v>6</v>
      </c>
      <c r="B11" s="8" t="s">
        <v>166</v>
      </c>
      <c r="C11" s="3" t="s">
        <v>167</v>
      </c>
      <c r="D11" s="3" t="s">
        <v>158</v>
      </c>
      <c r="E11" s="3" t="s">
        <v>168</v>
      </c>
      <c r="F11" s="11">
        <v>1</v>
      </c>
      <c r="G11" s="11" t="s">
        <v>112</v>
      </c>
      <c r="H11" s="11">
        <f>F11*Інструкція!$C$5</f>
        <v>5</v>
      </c>
      <c r="I11" s="11">
        <f>IF(H11=0,0,MAX(ROUNDUP(H11*INDEX(Інструкція!$C$9:$C$13,MATCH(AF11,Інструкція!$B$9:$B$13,0)),0),INDEX(Інструкція!$D$9:$D$13,MATCH(AF11,Інструкція!$B$9:$B$13,0))))</f>
        <v>3</v>
      </c>
      <c r="J11" s="4">
        <v>20</v>
      </c>
      <c r="K11" s="4">
        <v>0</v>
      </c>
      <c r="L11" s="21">
        <f t="shared" si="0"/>
        <v>20</v>
      </c>
      <c r="M11" s="11">
        <f>IF(N11="магазин",L11+K11-H11,IF(N11="книга резисторів 0603",(Набори!$D$5+Набори!$E$5)*Набори!$F$5-H11,""))</f>
        <v>15</v>
      </c>
      <c r="N11" s="4" t="s">
        <v>113</v>
      </c>
      <c r="O11" s="22" t="s">
        <v>114</v>
      </c>
      <c r="P11" s="3" t="s">
        <v>169</v>
      </c>
      <c r="Q11" s="11" t="s">
        <v>116</v>
      </c>
      <c r="R11" s="12">
        <f>IF(V11="","",IF(W11="без ПДВ",V11*(1+Інструкція!$C$6),V11))</f>
        <v>3.41</v>
      </c>
      <c r="S11" s="13">
        <f t="shared" si="1"/>
        <v>68.2</v>
      </c>
      <c r="T11" s="14" t="s">
        <v>117</v>
      </c>
      <c r="U11" s="3" t="s">
        <v>170</v>
      </c>
      <c r="V11" s="12">
        <v>3.41</v>
      </c>
      <c r="W11" s="11" t="s">
        <v>119</v>
      </c>
      <c r="X11" s="11">
        <v>1</v>
      </c>
      <c r="Y11" s="11">
        <v>1</v>
      </c>
      <c r="Z11" s="11" t="s">
        <v>120</v>
      </c>
      <c r="AA11" s="11" t="s">
        <v>121</v>
      </c>
      <c r="AB11" s="3" t="s">
        <v>171</v>
      </c>
      <c r="AC11" s="14" t="s">
        <v>117</v>
      </c>
      <c r="AD11" s="14" t="s">
        <v>123</v>
      </c>
      <c r="AE11" s="11" t="s">
        <v>172</v>
      </c>
      <c r="AF11" s="3" t="s">
        <v>11</v>
      </c>
      <c r="AG11" s="3" t="s">
        <v>173</v>
      </c>
      <c r="AH11" s="3" t="s">
        <v>174</v>
      </c>
      <c r="AI11" s="23" t="s">
        <v>175</v>
      </c>
      <c r="AJ11" s="11">
        <f>IF(L11&gt;0,IFERROR(MATCH(O11,Кошики!$A$2:$A$10,0),99)*1000+ROW(),"")</f>
        <v>1011</v>
      </c>
    </row>
    <row r="12" spans="1:36" ht="52.8" x14ac:dyDescent="0.3">
      <c r="A12" s="11">
        <v>7</v>
      </c>
      <c r="B12" s="8" t="s">
        <v>176</v>
      </c>
      <c r="C12" s="3" t="s">
        <v>177</v>
      </c>
      <c r="D12" s="3" t="s">
        <v>178</v>
      </c>
      <c r="E12" s="3" t="s">
        <v>179</v>
      </c>
      <c r="F12" s="11">
        <v>1</v>
      </c>
      <c r="G12" s="11" t="s">
        <v>112</v>
      </c>
      <c r="H12" s="11">
        <f>F12*Інструкція!$C$5</f>
        <v>5</v>
      </c>
      <c r="I12" s="11">
        <f>IF(H12=0,0,MAX(ROUNDUP(H12*INDEX(Інструкція!$C$9:$C$13,MATCH(AF12,Інструкція!$B$9:$B$13,0)),0),INDEX(Інструкція!$D$9:$D$13,MATCH(AF12,Інструкція!$B$9:$B$13,0))))</f>
        <v>1</v>
      </c>
      <c r="J12" s="4">
        <v>10</v>
      </c>
      <c r="K12" s="4">
        <v>0</v>
      </c>
      <c r="L12" s="21">
        <f t="shared" si="0"/>
        <v>10</v>
      </c>
      <c r="M12" s="11">
        <f>IF(N12="магазин",L12+K12-H12,IF(N12="книга резисторів 0603",(Набори!$D$5+Набори!$E$5)*Набори!$F$5-H12,""))</f>
        <v>5</v>
      </c>
      <c r="N12" s="4" t="s">
        <v>113</v>
      </c>
      <c r="O12" s="22" t="s">
        <v>114</v>
      </c>
      <c r="P12" s="3" t="s">
        <v>180</v>
      </c>
      <c r="Q12" s="11" t="s">
        <v>116</v>
      </c>
      <c r="R12" s="12">
        <f>IF(V12="","",IF(W12="без ПДВ",V12*(1+Інструкція!$C$6),V12))</f>
        <v>5.55</v>
      </c>
      <c r="S12" s="13">
        <f t="shared" si="1"/>
        <v>55.5</v>
      </c>
      <c r="T12" s="14" t="s">
        <v>117</v>
      </c>
      <c r="U12" s="3" t="s">
        <v>181</v>
      </c>
      <c r="V12" s="12">
        <v>5.55</v>
      </c>
      <c r="W12" s="11" t="s">
        <v>119</v>
      </c>
      <c r="X12" s="11">
        <v>1</v>
      </c>
      <c r="Y12" s="11">
        <v>1</v>
      </c>
      <c r="Z12" s="11" t="s">
        <v>120</v>
      </c>
      <c r="AA12" s="11" t="s">
        <v>121</v>
      </c>
      <c r="AB12" s="3" t="s">
        <v>182</v>
      </c>
      <c r="AC12" s="14" t="s">
        <v>117</v>
      </c>
      <c r="AD12" s="14" t="s">
        <v>123</v>
      </c>
      <c r="AE12" s="11"/>
      <c r="AF12" s="3" t="s">
        <v>13</v>
      </c>
      <c r="AG12" s="3" t="s">
        <v>183</v>
      </c>
      <c r="AH12" s="3" t="s">
        <v>184</v>
      </c>
      <c r="AI12" s="23" t="s">
        <v>185</v>
      </c>
      <c r="AJ12" s="11">
        <f>IF(L12&gt;0,IFERROR(MATCH(O12,Кошики!$A$2:$A$10,0),99)*1000+ROW(),"")</f>
        <v>1012</v>
      </c>
    </row>
    <row r="13" spans="1:36" ht="66" x14ac:dyDescent="0.3">
      <c r="A13" s="11">
        <v>8</v>
      </c>
      <c r="B13" s="8" t="s">
        <v>186</v>
      </c>
      <c r="C13" s="3" t="s">
        <v>187</v>
      </c>
      <c r="D13" s="3" t="s">
        <v>178</v>
      </c>
      <c r="E13" s="3" t="s">
        <v>188</v>
      </c>
      <c r="F13" s="11">
        <v>1</v>
      </c>
      <c r="G13" s="11" t="s">
        <v>112</v>
      </c>
      <c r="H13" s="11">
        <f>F13*Інструкція!$C$5</f>
        <v>5</v>
      </c>
      <c r="I13" s="11">
        <f>IF(H13=0,0,MAX(ROUNDUP(H13*INDEX(Інструкція!$C$9:$C$13,MATCH(AF13,Інструкція!$B$9:$B$13,0)),0),INDEX(Інструкція!$D$9:$D$13,MATCH(AF13,Інструкція!$B$9:$B$13,0))))</f>
        <v>1</v>
      </c>
      <c r="J13" s="4">
        <v>10</v>
      </c>
      <c r="K13" s="4">
        <v>0</v>
      </c>
      <c r="L13" s="21">
        <f t="shared" si="0"/>
        <v>10</v>
      </c>
      <c r="M13" s="11">
        <f>IF(N13="магазин",L13+K13-H13,IF(N13="книга резисторів 0603",(Набори!$D$5+Набори!$E$5)*Набори!$F$5-H13,""))</f>
        <v>5</v>
      </c>
      <c r="N13" s="4" t="s">
        <v>113</v>
      </c>
      <c r="O13" s="22" t="s">
        <v>114</v>
      </c>
      <c r="P13" s="3" t="s">
        <v>189</v>
      </c>
      <c r="Q13" s="11" t="s">
        <v>116</v>
      </c>
      <c r="R13" s="12">
        <f>IF(V13="","",IF(W13="без ПДВ",V13*(1+Інструкція!$C$6),V13))</f>
        <v>6.26</v>
      </c>
      <c r="S13" s="13">
        <f t="shared" si="1"/>
        <v>62.599999999999994</v>
      </c>
      <c r="T13" s="14" t="s">
        <v>117</v>
      </c>
      <c r="U13" s="3" t="s">
        <v>190</v>
      </c>
      <c r="V13" s="12">
        <v>6.26</v>
      </c>
      <c r="W13" s="11" t="s">
        <v>119</v>
      </c>
      <c r="X13" s="11">
        <v>1</v>
      </c>
      <c r="Y13" s="11">
        <v>1</v>
      </c>
      <c r="Z13" s="11" t="s">
        <v>120</v>
      </c>
      <c r="AA13" s="11" t="s">
        <v>121</v>
      </c>
      <c r="AB13" s="3" t="s">
        <v>191</v>
      </c>
      <c r="AC13" s="14" t="s">
        <v>117</v>
      </c>
      <c r="AD13" s="14" t="s">
        <v>123</v>
      </c>
      <c r="AE13" s="11"/>
      <c r="AF13" s="3" t="s">
        <v>13</v>
      </c>
      <c r="AG13" s="3" t="s">
        <v>192</v>
      </c>
      <c r="AH13" s="3" t="s">
        <v>193</v>
      </c>
      <c r="AI13" s="23" t="s">
        <v>194</v>
      </c>
      <c r="AJ13" s="11">
        <f>IF(L13&gt;0,IFERROR(MATCH(O13,Кошики!$A$2:$A$10,0),99)*1000+ROW(),"")</f>
        <v>1013</v>
      </c>
    </row>
    <row r="14" spans="1:36" ht="52.8" x14ac:dyDescent="0.3">
      <c r="A14" s="11">
        <v>9</v>
      </c>
      <c r="B14" s="8" t="s">
        <v>195</v>
      </c>
      <c r="C14" s="3" t="s">
        <v>196</v>
      </c>
      <c r="D14" s="3" t="s">
        <v>197</v>
      </c>
      <c r="E14" s="3" t="s">
        <v>198</v>
      </c>
      <c r="F14" s="11">
        <v>1</v>
      </c>
      <c r="G14" s="11" t="s">
        <v>112</v>
      </c>
      <c r="H14" s="11">
        <f>F14*Інструкція!$C$5</f>
        <v>5</v>
      </c>
      <c r="I14" s="11">
        <f>IF(H14=0,0,MAX(ROUNDUP(H14*INDEX(Інструкція!$C$9:$C$13,MATCH(AF14,Інструкція!$B$9:$B$13,0)),0),INDEX(Інструкція!$D$9:$D$13,MATCH(AF14,Інструкція!$B$9:$B$13,0))))</f>
        <v>3</v>
      </c>
      <c r="J14" s="4">
        <v>20</v>
      </c>
      <c r="K14" s="4">
        <v>0</v>
      </c>
      <c r="L14" s="21">
        <f t="shared" si="0"/>
        <v>20</v>
      </c>
      <c r="M14" s="11">
        <f>IF(N14="магазин",L14+K14-H14,IF(N14="книга резисторів 0603",(Набори!$D$5+Набори!$E$5)*Набори!$F$5-H14,""))</f>
        <v>15</v>
      </c>
      <c r="N14" s="4" t="s">
        <v>113</v>
      </c>
      <c r="O14" s="22" t="s">
        <v>114</v>
      </c>
      <c r="P14" s="3" t="s">
        <v>199</v>
      </c>
      <c r="Q14" s="11" t="s">
        <v>116</v>
      </c>
      <c r="R14" s="12">
        <f>IF(V14="","",IF(W14="без ПДВ",V14*(1+Інструкція!$C$6),V14))</f>
        <v>1.74</v>
      </c>
      <c r="S14" s="13">
        <f t="shared" si="1"/>
        <v>34.799999999999997</v>
      </c>
      <c r="T14" s="14" t="s">
        <v>117</v>
      </c>
      <c r="U14" s="3" t="s">
        <v>200</v>
      </c>
      <c r="V14" s="12">
        <v>1.74</v>
      </c>
      <c r="W14" s="11" t="s">
        <v>119</v>
      </c>
      <c r="X14" s="11">
        <v>1</v>
      </c>
      <c r="Y14" s="11">
        <v>1</v>
      </c>
      <c r="Z14" s="11" t="s">
        <v>120</v>
      </c>
      <c r="AA14" s="11" t="s">
        <v>121</v>
      </c>
      <c r="AB14" s="3" t="s">
        <v>201</v>
      </c>
      <c r="AC14" s="14" t="s">
        <v>117</v>
      </c>
      <c r="AD14" s="14" t="s">
        <v>123</v>
      </c>
      <c r="AE14" s="11"/>
      <c r="AF14" s="3" t="s">
        <v>11</v>
      </c>
      <c r="AG14" s="3" t="s">
        <v>202</v>
      </c>
      <c r="AH14" s="3" t="s">
        <v>203</v>
      </c>
      <c r="AI14" s="23" t="s">
        <v>204</v>
      </c>
      <c r="AJ14" s="11">
        <f>IF(L14&gt;0,IFERROR(MATCH(O14,Кошики!$A$2:$A$10,0),99)*1000+ROW(),"")</f>
        <v>1014</v>
      </c>
    </row>
    <row r="15" spans="1:36" ht="52.8" x14ac:dyDescent="0.3">
      <c r="A15" s="11">
        <v>10</v>
      </c>
      <c r="B15" s="8" t="s">
        <v>205</v>
      </c>
      <c r="C15" s="3" t="s">
        <v>206</v>
      </c>
      <c r="D15" s="3" t="s">
        <v>197</v>
      </c>
      <c r="E15" s="3" t="s">
        <v>207</v>
      </c>
      <c r="F15" s="11">
        <v>1</v>
      </c>
      <c r="G15" s="11" t="s">
        <v>112</v>
      </c>
      <c r="H15" s="11">
        <f>F15*Інструкція!$C$5</f>
        <v>5</v>
      </c>
      <c r="I15" s="11">
        <f>IF(H15=0,0,MAX(ROUNDUP(H15*INDEX(Інструкція!$C$9:$C$13,MATCH(AF15,Інструкція!$B$9:$B$13,0)),0),INDEX(Інструкція!$D$9:$D$13,MATCH(AF15,Інструкція!$B$9:$B$13,0))))</f>
        <v>3</v>
      </c>
      <c r="J15" s="4">
        <v>20</v>
      </c>
      <c r="K15" s="4">
        <v>0</v>
      </c>
      <c r="L15" s="21">
        <f t="shared" si="0"/>
        <v>20</v>
      </c>
      <c r="M15" s="11">
        <f>IF(N15="магазин",L15+K15-H15,IF(N15="книга резисторів 0603",(Набори!$D$5+Набори!$E$5)*Набори!$F$5-H15,""))</f>
        <v>15</v>
      </c>
      <c r="N15" s="4" t="s">
        <v>113</v>
      </c>
      <c r="O15" s="22" t="s">
        <v>114</v>
      </c>
      <c r="P15" s="3" t="s">
        <v>208</v>
      </c>
      <c r="Q15" s="11" t="s">
        <v>116</v>
      </c>
      <c r="R15" s="12">
        <f>IF(V15="","",IF(W15="без ПДВ",V15*(1+Інструкція!$C$6),V15))</f>
        <v>4.6900000000000004</v>
      </c>
      <c r="S15" s="13">
        <f t="shared" si="1"/>
        <v>93.800000000000011</v>
      </c>
      <c r="T15" s="14" t="s">
        <v>117</v>
      </c>
      <c r="U15" s="3" t="s">
        <v>209</v>
      </c>
      <c r="V15" s="12">
        <v>4.6900000000000004</v>
      </c>
      <c r="W15" s="11" t="s">
        <v>119</v>
      </c>
      <c r="X15" s="11">
        <v>1</v>
      </c>
      <c r="Y15" s="11">
        <v>1</v>
      </c>
      <c r="Z15" s="11" t="s">
        <v>120</v>
      </c>
      <c r="AA15" s="11" t="s">
        <v>121</v>
      </c>
      <c r="AB15" s="3" t="s">
        <v>210</v>
      </c>
      <c r="AC15" s="14" t="s">
        <v>117</v>
      </c>
      <c r="AD15" s="14" t="s">
        <v>123</v>
      </c>
      <c r="AE15" s="11"/>
      <c r="AF15" s="3" t="s">
        <v>11</v>
      </c>
      <c r="AG15" s="3" t="s">
        <v>211</v>
      </c>
      <c r="AH15" s="3" t="s">
        <v>212</v>
      </c>
      <c r="AI15" s="23" t="s">
        <v>213</v>
      </c>
      <c r="AJ15" s="11">
        <f>IF(L15&gt;0,IFERROR(MATCH(O15,Кошики!$A$2:$A$10,0),99)*1000+ROW(),"")</f>
        <v>1015</v>
      </c>
    </row>
    <row r="16" spans="1:36" ht="52.8" x14ac:dyDescent="0.3">
      <c r="A16" s="11">
        <v>11</v>
      </c>
      <c r="B16" s="8" t="s">
        <v>214</v>
      </c>
      <c r="C16" s="3" t="s">
        <v>215</v>
      </c>
      <c r="D16" s="3" t="s">
        <v>216</v>
      </c>
      <c r="E16" s="3" t="s">
        <v>217</v>
      </c>
      <c r="F16" s="11">
        <v>1</v>
      </c>
      <c r="G16" s="11" t="s">
        <v>112</v>
      </c>
      <c r="H16" s="11">
        <f>F16*Інструкція!$C$5</f>
        <v>5</v>
      </c>
      <c r="I16" s="11">
        <f>IF(H16=0,0,MAX(ROUNDUP(H16*INDEX(Інструкція!$C$9:$C$13,MATCH(AF16,Інструкція!$B$9:$B$13,0)),0),INDEX(Інструкція!$D$9:$D$13,MATCH(AF16,Інструкція!$B$9:$B$13,0))))</f>
        <v>1</v>
      </c>
      <c r="J16" s="4">
        <v>10</v>
      </c>
      <c r="K16" s="4">
        <v>0</v>
      </c>
      <c r="L16" s="21">
        <f t="shared" si="0"/>
        <v>10</v>
      </c>
      <c r="M16" s="11">
        <f>IF(N16="магазин",L16+K16-H16,IF(N16="книга резисторів 0603",(Набори!$D$5+Набори!$E$5)*Набори!$F$5-H16,""))</f>
        <v>5</v>
      </c>
      <c r="N16" s="4" t="s">
        <v>113</v>
      </c>
      <c r="O16" s="22" t="s">
        <v>114</v>
      </c>
      <c r="P16" s="3" t="s">
        <v>218</v>
      </c>
      <c r="Q16" s="11" t="s">
        <v>116</v>
      </c>
      <c r="R16" s="12">
        <f>IF(V16="","",IF(W16="без ПДВ",V16*(1+Інструкція!$C$6),V16))</f>
        <v>49.95</v>
      </c>
      <c r="S16" s="13">
        <f t="shared" si="1"/>
        <v>499.5</v>
      </c>
      <c r="T16" s="14" t="s">
        <v>117</v>
      </c>
      <c r="U16" s="3" t="s">
        <v>219</v>
      </c>
      <c r="V16" s="12">
        <v>49.95</v>
      </c>
      <c r="W16" s="11" t="s">
        <v>119</v>
      </c>
      <c r="X16" s="11">
        <v>1</v>
      </c>
      <c r="Y16" s="11">
        <v>1</v>
      </c>
      <c r="Z16" s="11" t="s">
        <v>120</v>
      </c>
      <c r="AA16" s="11" t="s">
        <v>121</v>
      </c>
      <c r="AB16" s="3" t="s">
        <v>220</v>
      </c>
      <c r="AC16" s="14" t="s">
        <v>117</v>
      </c>
      <c r="AD16" s="14" t="s">
        <v>123</v>
      </c>
      <c r="AE16" s="11"/>
      <c r="AF16" s="3" t="s">
        <v>13</v>
      </c>
      <c r="AG16" s="3" t="s">
        <v>221</v>
      </c>
      <c r="AH16" s="3" t="s">
        <v>222</v>
      </c>
      <c r="AI16" s="23" t="s">
        <v>223</v>
      </c>
      <c r="AJ16" s="11">
        <f>IF(L16&gt;0,IFERROR(MATCH(O16,Кошики!$A$2:$A$10,0),99)*1000+ROW(),"")</f>
        <v>1016</v>
      </c>
    </row>
    <row r="17" spans="1:36" ht="92.4" x14ac:dyDescent="0.3">
      <c r="A17" s="11">
        <v>12</v>
      </c>
      <c r="B17" s="8" t="s">
        <v>224</v>
      </c>
      <c r="C17" s="3" t="s">
        <v>225</v>
      </c>
      <c r="D17" s="3" t="s">
        <v>226</v>
      </c>
      <c r="E17" s="3" t="s">
        <v>227</v>
      </c>
      <c r="F17" s="11">
        <v>1</v>
      </c>
      <c r="G17" s="11" t="s">
        <v>112</v>
      </c>
      <c r="H17" s="11">
        <f>F17*Інструкція!$C$5</f>
        <v>5</v>
      </c>
      <c r="I17" s="11">
        <f>IF(H17=0,0,MAX(ROUNDUP(H17*INDEX(Інструкція!$C$9:$C$13,MATCH(AF17,Інструкція!$B$9:$B$13,0)),0),INDEX(Інструкція!$D$9:$D$13,MATCH(AF17,Інструкція!$B$9:$B$13,0))))</f>
        <v>1</v>
      </c>
      <c r="J17" s="4">
        <v>10</v>
      </c>
      <c r="K17" s="4">
        <v>0</v>
      </c>
      <c r="L17" s="21">
        <f t="shared" si="0"/>
        <v>10</v>
      </c>
      <c r="M17" s="11">
        <f>IF(N17="магазин",L17+K17-H17,IF(N17="книга резисторів 0603",(Набори!$D$5+Набори!$E$5)*Набори!$F$5-H17,""))</f>
        <v>5</v>
      </c>
      <c r="N17" s="4" t="s">
        <v>113</v>
      </c>
      <c r="O17" s="22" t="s">
        <v>228</v>
      </c>
      <c r="P17" s="3" t="s">
        <v>229</v>
      </c>
      <c r="Q17" s="11" t="s">
        <v>230</v>
      </c>
      <c r="R17" s="12">
        <f>IF(V17="","",IF(W17="без ПДВ",V17*(1+Інструкція!$C$6),V17))</f>
        <v>71.435999999999993</v>
      </c>
      <c r="S17" s="13">
        <f t="shared" si="1"/>
        <v>714.3599999999999</v>
      </c>
      <c r="T17" s="14" t="s">
        <v>117</v>
      </c>
      <c r="U17" s="3" t="s">
        <v>231</v>
      </c>
      <c r="V17" s="12">
        <v>59.53</v>
      </c>
      <c r="W17" s="11" t="s">
        <v>232</v>
      </c>
      <c r="X17" s="11">
        <v>5</v>
      </c>
      <c r="Y17" s="11">
        <v>1</v>
      </c>
      <c r="Z17" s="11" t="s">
        <v>120</v>
      </c>
      <c r="AA17" s="11" t="s">
        <v>121</v>
      </c>
      <c r="AB17" s="3" t="s">
        <v>233</v>
      </c>
      <c r="AC17" s="14" t="s">
        <v>117</v>
      </c>
      <c r="AD17" s="14" t="s">
        <v>123</v>
      </c>
      <c r="AE17" s="11"/>
      <c r="AF17" s="3" t="s">
        <v>13</v>
      </c>
      <c r="AG17" s="3" t="s">
        <v>234</v>
      </c>
      <c r="AH17" s="3" t="s">
        <v>235</v>
      </c>
      <c r="AI17" s="23" t="s">
        <v>236</v>
      </c>
      <c r="AJ17" s="11">
        <f>IF(L17&gt;0,IFERROR(MATCH(O17,Кошики!$A$2:$A$10,0),99)*1000+ROW(),"")</f>
        <v>2017</v>
      </c>
    </row>
    <row r="18" spans="1:36" ht="52.8" x14ac:dyDescent="0.3">
      <c r="A18" s="24">
        <v>13</v>
      </c>
      <c r="B18" s="25" t="s">
        <v>237</v>
      </c>
      <c r="C18" s="26" t="s">
        <v>238</v>
      </c>
      <c r="D18" s="26" t="s">
        <v>239</v>
      </c>
      <c r="E18" s="26" t="s">
        <v>240</v>
      </c>
      <c r="F18" s="24">
        <v>1</v>
      </c>
      <c r="G18" s="24" t="s">
        <v>112</v>
      </c>
      <c r="H18" s="24">
        <f>F18*Інструкція!$C$5</f>
        <v>5</v>
      </c>
      <c r="I18" s="24">
        <f>IF(H18=0,0,MAX(ROUNDUP(H18*INDEX(Інструкція!$C$9:$C$13,MATCH(AF18,Інструкція!$B$9:$B$13,0)),0),INDEX(Інструкція!$D$9:$D$13,MATCH(AF18,Інструкція!$B$9:$B$13,0))))</f>
        <v>0</v>
      </c>
      <c r="J18" s="4">
        <v>0</v>
      </c>
      <c r="K18" s="4">
        <v>0</v>
      </c>
      <c r="L18" s="21">
        <f t="shared" si="0"/>
        <v>0</v>
      </c>
      <c r="M18" s="24" t="str">
        <f>IF(N18="магазин",L18+K18-H18,IF(N18="книга резисторів 0603",(Набори!$D$5+Набори!$E$5)*Набори!$F$5-H18,""))</f>
        <v/>
      </c>
      <c r="N18" s="4" t="s">
        <v>241</v>
      </c>
      <c r="O18" s="22" t="s">
        <v>241</v>
      </c>
      <c r="P18" s="26" t="s">
        <v>242</v>
      </c>
      <c r="Q18" s="24" t="s">
        <v>241</v>
      </c>
      <c r="R18" s="27" t="str">
        <f>IF(V18="","",IF(W18="без ПДВ",V18*(1+Інструкція!$C$6),V18))</f>
        <v/>
      </c>
      <c r="S18" s="28">
        <f t="shared" si="1"/>
        <v>0</v>
      </c>
      <c r="T18" s="26"/>
      <c r="U18" s="26"/>
      <c r="V18" s="27"/>
      <c r="W18" s="24" t="s">
        <v>119</v>
      </c>
      <c r="X18" s="24">
        <v>1</v>
      </c>
      <c r="Y18" s="24">
        <v>1</v>
      </c>
      <c r="Z18" s="24"/>
      <c r="AA18" s="24"/>
      <c r="AB18" s="26"/>
      <c r="AC18" s="26"/>
      <c r="AD18" s="26"/>
      <c r="AE18" s="24"/>
      <c r="AF18" s="26" t="s">
        <v>19</v>
      </c>
      <c r="AG18" s="26" t="s">
        <v>243</v>
      </c>
      <c r="AH18" s="26" t="s">
        <v>244</v>
      </c>
      <c r="AI18" s="29"/>
      <c r="AJ18" s="24" t="str">
        <f>IF(L18&gt;0,IFERROR(MATCH(O18,Кошики!$A$2:$A$10,0),99)*1000+ROW(),"")</f>
        <v/>
      </c>
    </row>
    <row r="19" spans="1:36" ht="52.8" x14ac:dyDescent="0.3">
      <c r="A19" s="11">
        <v>14</v>
      </c>
      <c r="B19" s="8" t="s">
        <v>245</v>
      </c>
      <c r="C19" s="3" t="s">
        <v>246</v>
      </c>
      <c r="D19" s="3" t="s">
        <v>247</v>
      </c>
      <c r="E19" s="3" t="s">
        <v>248</v>
      </c>
      <c r="F19" s="11">
        <v>1</v>
      </c>
      <c r="G19" s="11" t="s">
        <v>112</v>
      </c>
      <c r="H19" s="11">
        <f>F19*Інструкція!$C$5</f>
        <v>5</v>
      </c>
      <c r="I19" s="11">
        <f>IF(H19=0,0,MAX(ROUNDUP(H19*INDEX(Інструкція!$C$9:$C$13,MATCH(AF19,Інструкція!$B$9:$B$13,0)),0),INDEX(Інструкція!$D$9:$D$13,MATCH(AF19,Інструкція!$B$9:$B$13,0))))</f>
        <v>1</v>
      </c>
      <c r="J19" s="4">
        <v>10</v>
      </c>
      <c r="K19" s="4">
        <v>0</v>
      </c>
      <c r="L19" s="21">
        <f t="shared" si="0"/>
        <v>10</v>
      </c>
      <c r="M19" s="11">
        <f>IF(N19="магазин",L19+K19-H19,IF(N19="книга резисторів 0603",(Набори!$D$5+Набори!$E$5)*Набори!$F$5-H19,""))</f>
        <v>5</v>
      </c>
      <c r="N19" s="4" t="s">
        <v>113</v>
      </c>
      <c r="O19" s="22" t="s">
        <v>114</v>
      </c>
      <c r="P19" s="3" t="s">
        <v>249</v>
      </c>
      <c r="Q19" s="11" t="s">
        <v>116</v>
      </c>
      <c r="R19" s="12">
        <f>IF(V19="","",IF(W19="без ПДВ",V19*(1+Інструкція!$C$6),V19))</f>
        <v>34.96</v>
      </c>
      <c r="S19" s="13">
        <f t="shared" si="1"/>
        <v>349.6</v>
      </c>
      <c r="T19" s="14" t="s">
        <v>117</v>
      </c>
      <c r="U19" s="3" t="s">
        <v>250</v>
      </c>
      <c r="V19" s="12">
        <v>34.96</v>
      </c>
      <c r="W19" s="11" t="s">
        <v>119</v>
      </c>
      <c r="X19" s="11">
        <v>1</v>
      </c>
      <c r="Y19" s="11">
        <v>1</v>
      </c>
      <c r="Z19" s="11" t="s">
        <v>120</v>
      </c>
      <c r="AA19" s="11" t="s">
        <v>121</v>
      </c>
      <c r="AB19" s="3" t="s">
        <v>251</v>
      </c>
      <c r="AC19" s="14" t="s">
        <v>117</v>
      </c>
      <c r="AD19" s="14" t="s">
        <v>123</v>
      </c>
      <c r="AE19" s="11"/>
      <c r="AF19" s="3" t="s">
        <v>15</v>
      </c>
      <c r="AG19" s="3" t="s">
        <v>252</v>
      </c>
      <c r="AH19" s="3" t="s">
        <v>253</v>
      </c>
      <c r="AI19" s="23" t="s">
        <v>254</v>
      </c>
      <c r="AJ19" s="11">
        <f>IF(L19&gt;0,IFERROR(MATCH(O19,Кошики!$A$2:$A$10,0),99)*1000+ROW(),"")</f>
        <v>1019</v>
      </c>
    </row>
    <row r="20" spans="1:36" ht="52.8" x14ac:dyDescent="0.3">
      <c r="A20" s="11">
        <v>15</v>
      </c>
      <c r="B20" s="8" t="s">
        <v>255</v>
      </c>
      <c r="C20" s="3" t="s">
        <v>256</v>
      </c>
      <c r="D20" s="3" t="s">
        <v>257</v>
      </c>
      <c r="E20" s="3" t="s">
        <v>258</v>
      </c>
      <c r="F20" s="11">
        <v>1</v>
      </c>
      <c r="G20" s="11" t="s">
        <v>112</v>
      </c>
      <c r="H20" s="11">
        <f>F20*Інструкція!$C$5</f>
        <v>5</v>
      </c>
      <c r="I20" s="11">
        <f>IF(H20=0,0,MAX(ROUNDUP(H20*INDEX(Інструкція!$C$9:$C$13,MATCH(AF20,Інструкція!$B$9:$B$13,0)),0),INDEX(Інструкція!$D$9:$D$13,MATCH(AF20,Інструкція!$B$9:$B$13,0))))</f>
        <v>1</v>
      </c>
      <c r="J20" s="4">
        <v>10</v>
      </c>
      <c r="K20" s="4">
        <v>0</v>
      </c>
      <c r="L20" s="21">
        <f t="shared" si="0"/>
        <v>10</v>
      </c>
      <c r="M20" s="11">
        <f>IF(N20="магазин",L20+K20-H20,IF(N20="книга резисторів 0603",(Набори!$D$5+Набори!$E$5)*Набори!$F$5-H20,""))</f>
        <v>5</v>
      </c>
      <c r="N20" s="4" t="s">
        <v>113</v>
      </c>
      <c r="O20" s="22" t="s">
        <v>114</v>
      </c>
      <c r="P20" s="3" t="s">
        <v>259</v>
      </c>
      <c r="Q20" s="11" t="s">
        <v>116</v>
      </c>
      <c r="R20" s="12">
        <f>IF(V20="","",IF(W20="без ПДВ",V20*(1+Інструкція!$C$6),V20))</f>
        <v>4.3499999999999996</v>
      </c>
      <c r="S20" s="13">
        <f t="shared" si="1"/>
        <v>43.5</v>
      </c>
      <c r="T20" s="14" t="s">
        <v>117</v>
      </c>
      <c r="U20" s="3" t="s">
        <v>260</v>
      </c>
      <c r="V20" s="12">
        <v>4.3499999999999996</v>
      </c>
      <c r="W20" s="11" t="s">
        <v>119</v>
      </c>
      <c r="X20" s="11">
        <v>1</v>
      </c>
      <c r="Y20" s="11">
        <v>1</v>
      </c>
      <c r="Z20" s="11" t="s">
        <v>120</v>
      </c>
      <c r="AA20" s="11" t="s">
        <v>121</v>
      </c>
      <c r="AB20" s="3" t="s">
        <v>261</v>
      </c>
      <c r="AC20" s="14" t="s">
        <v>117</v>
      </c>
      <c r="AD20" s="14" t="s">
        <v>123</v>
      </c>
      <c r="AE20" s="11"/>
      <c r="AF20" s="3" t="s">
        <v>15</v>
      </c>
      <c r="AG20" s="3" t="s">
        <v>262</v>
      </c>
      <c r="AH20" s="3" t="s">
        <v>263</v>
      </c>
      <c r="AI20" s="23" t="s">
        <v>264</v>
      </c>
      <c r="AJ20" s="11">
        <f>IF(L20&gt;0,IFERROR(MATCH(O20,Кошики!$A$2:$A$10,0),99)*1000+ROW(),"")</f>
        <v>1020</v>
      </c>
    </row>
    <row r="21" spans="1:36" ht="66" x14ac:dyDescent="0.3">
      <c r="A21" s="11">
        <v>16</v>
      </c>
      <c r="B21" s="8" t="s">
        <v>265</v>
      </c>
      <c r="C21" s="3" t="s">
        <v>266</v>
      </c>
      <c r="D21" s="3" t="s">
        <v>267</v>
      </c>
      <c r="E21" s="3" t="s">
        <v>268</v>
      </c>
      <c r="F21" s="11">
        <v>1</v>
      </c>
      <c r="G21" s="11" t="s">
        <v>112</v>
      </c>
      <c r="H21" s="11">
        <f>F21*Інструкція!$C$5</f>
        <v>5</v>
      </c>
      <c r="I21" s="11">
        <f>IF(H21=0,0,MAX(ROUNDUP(H21*INDEX(Інструкція!$C$9:$C$13,MATCH(AF21,Інструкція!$B$9:$B$13,0)),0),INDEX(Інструкція!$D$9:$D$13,MATCH(AF21,Інструкція!$B$9:$B$13,0))))</f>
        <v>1</v>
      </c>
      <c r="J21" s="4">
        <v>10</v>
      </c>
      <c r="K21" s="4">
        <v>0</v>
      </c>
      <c r="L21" s="21">
        <f t="shared" si="0"/>
        <v>10</v>
      </c>
      <c r="M21" s="11">
        <f>IF(N21="магазин",L21+K21-H21,IF(N21="книга резисторів 0603",(Набори!$D$5+Набори!$E$5)*Набори!$F$5-H21,""))</f>
        <v>5</v>
      </c>
      <c r="N21" s="4" t="s">
        <v>113</v>
      </c>
      <c r="O21" s="22" t="s">
        <v>114</v>
      </c>
      <c r="P21" s="3" t="s">
        <v>269</v>
      </c>
      <c r="Q21" s="11" t="s">
        <v>116</v>
      </c>
      <c r="R21" s="12">
        <f>IF(V21="","",IF(W21="без ПДВ",V21*(1+Інструкція!$C$6),V21))</f>
        <v>3.2</v>
      </c>
      <c r="S21" s="13">
        <f t="shared" si="1"/>
        <v>32</v>
      </c>
      <c r="T21" s="14" t="s">
        <v>117</v>
      </c>
      <c r="U21" s="3" t="s">
        <v>270</v>
      </c>
      <c r="V21" s="12">
        <v>3.2</v>
      </c>
      <c r="W21" s="11" t="s">
        <v>119</v>
      </c>
      <c r="X21" s="11">
        <v>1</v>
      </c>
      <c r="Y21" s="11">
        <v>1</v>
      </c>
      <c r="Z21" s="11" t="s">
        <v>120</v>
      </c>
      <c r="AA21" s="11" t="s">
        <v>121</v>
      </c>
      <c r="AB21" s="3" t="s">
        <v>271</v>
      </c>
      <c r="AC21" s="14" t="s">
        <v>117</v>
      </c>
      <c r="AD21" s="14" t="s">
        <v>123</v>
      </c>
      <c r="AE21" s="11"/>
      <c r="AF21" s="3" t="s">
        <v>15</v>
      </c>
      <c r="AG21" s="3" t="s">
        <v>272</v>
      </c>
      <c r="AH21" s="3" t="s">
        <v>273</v>
      </c>
      <c r="AI21" s="23" t="s">
        <v>274</v>
      </c>
      <c r="AJ21" s="11">
        <f>IF(L21&gt;0,IFERROR(MATCH(O21,Кошики!$A$2:$A$10,0),99)*1000+ROW(),"")</f>
        <v>1021</v>
      </c>
    </row>
    <row r="22" spans="1:36" ht="52.8" x14ac:dyDescent="0.3">
      <c r="A22" s="11">
        <v>17</v>
      </c>
      <c r="B22" s="8" t="s">
        <v>275</v>
      </c>
      <c r="C22" s="3" t="s">
        <v>276</v>
      </c>
      <c r="D22" s="3" t="s">
        <v>277</v>
      </c>
      <c r="E22" s="3" t="s">
        <v>278</v>
      </c>
      <c r="F22" s="11">
        <v>1</v>
      </c>
      <c r="G22" s="11" t="s">
        <v>112</v>
      </c>
      <c r="H22" s="11">
        <f>F22*Інструкція!$C$5</f>
        <v>5</v>
      </c>
      <c r="I22" s="11">
        <f>IF(H22=0,0,MAX(ROUNDUP(H22*INDEX(Інструкція!$C$9:$C$13,MATCH(AF22,Інструкція!$B$9:$B$13,0)),0),INDEX(Інструкція!$D$9:$D$13,MATCH(AF22,Інструкція!$B$9:$B$13,0))))</f>
        <v>1</v>
      </c>
      <c r="J22" s="4">
        <v>10</v>
      </c>
      <c r="K22" s="4">
        <v>0</v>
      </c>
      <c r="L22" s="21">
        <f t="shared" si="0"/>
        <v>10</v>
      </c>
      <c r="M22" s="11">
        <f>IF(N22="магазин",L22+K22-H22,IF(N22="книга резисторів 0603",(Набори!$D$5+Набори!$E$5)*Набори!$F$5-H22,""))</f>
        <v>5</v>
      </c>
      <c r="N22" s="4" t="s">
        <v>113</v>
      </c>
      <c r="O22" s="22" t="s">
        <v>228</v>
      </c>
      <c r="P22" s="3" t="s">
        <v>279</v>
      </c>
      <c r="Q22" s="11" t="s">
        <v>116</v>
      </c>
      <c r="R22" s="12">
        <f>IF(V22="","",IF(W22="без ПДВ",V22*(1+Інструкція!$C$6),V22))</f>
        <v>12.27</v>
      </c>
      <c r="S22" s="13">
        <f t="shared" si="1"/>
        <v>122.69999999999999</v>
      </c>
      <c r="T22" s="14" t="s">
        <v>117</v>
      </c>
      <c r="U22" s="3" t="s">
        <v>280</v>
      </c>
      <c r="V22" s="12">
        <v>12.27</v>
      </c>
      <c r="W22" s="11" t="s">
        <v>281</v>
      </c>
      <c r="X22" s="11">
        <v>1</v>
      </c>
      <c r="Y22" s="11">
        <v>1</v>
      </c>
      <c r="Z22" s="11" t="s">
        <v>120</v>
      </c>
      <c r="AA22" s="11" t="s">
        <v>121</v>
      </c>
      <c r="AB22" s="3" t="s">
        <v>282</v>
      </c>
      <c r="AC22" s="14" t="s">
        <v>117</v>
      </c>
      <c r="AD22" s="14" t="s">
        <v>123</v>
      </c>
      <c r="AE22" s="11"/>
      <c r="AF22" s="3" t="s">
        <v>13</v>
      </c>
      <c r="AG22" s="3" t="s">
        <v>283</v>
      </c>
      <c r="AH22" s="3" t="s">
        <v>284</v>
      </c>
      <c r="AI22" s="23" t="s">
        <v>285</v>
      </c>
      <c r="AJ22" s="11">
        <f>IF(L22&gt;0,IFERROR(MATCH(O22,Кошики!$A$2:$A$10,0),99)*1000+ROW(),"")</f>
        <v>2022</v>
      </c>
    </row>
    <row r="23" spans="1:36" ht="52.8" x14ac:dyDescent="0.3">
      <c r="A23" s="11">
        <v>18</v>
      </c>
      <c r="B23" s="8" t="s">
        <v>286</v>
      </c>
      <c r="C23" s="3" t="s">
        <v>287</v>
      </c>
      <c r="D23" s="3" t="s">
        <v>288</v>
      </c>
      <c r="E23" s="3" t="s">
        <v>289</v>
      </c>
      <c r="F23" s="11">
        <v>1</v>
      </c>
      <c r="G23" s="11" t="s">
        <v>112</v>
      </c>
      <c r="H23" s="11">
        <f>F23*Інструкція!$C$5</f>
        <v>5</v>
      </c>
      <c r="I23" s="11">
        <f>IF(H23=0,0,MAX(ROUNDUP(H23*INDEX(Інструкція!$C$9:$C$13,MATCH(AF23,Інструкція!$B$9:$B$13,0)),0),INDEX(Інструкція!$D$9:$D$13,MATCH(AF23,Інструкція!$B$9:$B$13,0))))</f>
        <v>1</v>
      </c>
      <c r="J23" s="4">
        <v>10</v>
      </c>
      <c r="K23" s="4">
        <v>0</v>
      </c>
      <c r="L23" s="21">
        <f t="shared" si="0"/>
        <v>10</v>
      </c>
      <c r="M23" s="11">
        <f>IF(N23="магазин",L23+K23-H23,IF(N23="книга резисторів 0603",(Набори!$D$5+Набори!$E$5)*Набори!$F$5-H23,""))</f>
        <v>5</v>
      </c>
      <c r="N23" s="4" t="s">
        <v>113</v>
      </c>
      <c r="O23" s="22" t="s">
        <v>114</v>
      </c>
      <c r="P23" s="3" t="s">
        <v>290</v>
      </c>
      <c r="Q23" s="11" t="s">
        <v>116</v>
      </c>
      <c r="R23" s="12">
        <f>IF(V23="","",IF(W23="без ПДВ",V23*(1+Інструкція!$C$6),V23))</f>
        <v>57.12</v>
      </c>
      <c r="S23" s="13">
        <f t="shared" si="1"/>
        <v>571.19999999999993</v>
      </c>
      <c r="T23" s="14" t="s">
        <v>117</v>
      </c>
      <c r="U23" s="3" t="s">
        <v>291</v>
      </c>
      <c r="V23" s="12">
        <v>57.12</v>
      </c>
      <c r="W23" s="11" t="s">
        <v>119</v>
      </c>
      <c r="X23" s="11">
        <v>1</v>
      </c>
      <c r="Y23" s="11">
        <v>1</v>
      </c>
      <c r="Z23" s="11" t="s">
        <v>120</v>
      </c>
      <c r="AA23" s="11" t="s">
        <v>121</v>
      </c>
      <c r="AB23" s="3" t="s">
        <v>292</v>
      </c>
      <c r="AC23" s="14" t="s">
        <v>117</v>
      </c>
      <c r="AD23" s="14" t="s">
        <v>123</v>
      </c>
      <c r="AE23" s="11"/>
      <c r="AF23" s="3" t="s">
        <v>13</v>
      </c>
      <c r="AG23" s="3" t="s">
        <v>293</v>
      </c>
      <c r="AH23" s="3" t="s">
        <v>294</v>
      </c>
      <c r="AI23" s="23" t="s">
        <v>295</v>
      </c>
      <c r="AJ23" s="11">
        <f>IF(L23&gt;0,IFERROR(MATCH(O23,Кошики!$A$2:$A$10,0),99)*1000+ROW(),"")</f>
        <v>1023</v>
      </c>
    </row>
    <row r="24" spans="1:36" ht="52.8" x14ac:dyDescent="0.3">
      <c r="A24" s="11">
        <v>19</v>
      </c>
      <c r="B24" s="8" t="s">
        <v>296</v>
      </c>
      <c r="C24" s="3" t="s">
        <v>297</v>
      </c>
      <c r="D24" s="3" t="s">
        <v>288</v>
      </c>
      <c r="E24" s="3" t="s">
        <v>298</v>
      </c>
      <c r="F24" s="11">
        <v>1</v>
      </c>
      <c r="G24" s="11" t="s">
        <v>112</v>
      </c>
      <c r="H24" s="11">
        <f>F24*Інструкція!$C$5</f>
        <v>5</v>
      </c>
      <c r="I24" s="11">
        <f>IF(H24=0,0,MAX(ROUNDUP(H24*INDEX(Інструкція!$C$9:$C$13,MATCH(AF24,Інструкція!$B$9:$B$13,0)),0),INDEX(Інструкція!$D$9:$D$13,MATCH(AF24,Інструкція!$B$9:$B$13,0))))</f>
        <v>1</v>
      </c>
      <c r="J24" s="4">
        <v>10</v>
      </c>
      <c r="K24" s="4">
        <v>0</v>
      </c>
      <c r="L24" s="21">
        <f t="shared" si="0"/>
        <v>10</v>
      </c>
      <c r="M24" s="11">
        <f>IF(N24="магазин",L24+K24-H24,IF(N24="книга резисторів 0603",(Набори!$D$5+Набори!$E$5)*Набори!$F$5-H24,""))</f>
        <v>5</v>
      </c>
      <c r="N24" s="4" t="s">
        <v>113</v>
      </c>
      <c r="O24" s="22" t="s">
        <v>114</v>
      </c>
      <c r="P24" s="3" t="s">
        <v>299</v>
      </c>
      <c r="Q24" s="11" t="s">
        <v>116</v>
      </c>
      <c r="R24" s="12">
        <f>IF(V24="","",IF(W24="без ПДВ",V24*(1+Інструкція!$C$6),V24))</f>
        <v>1.62</v>
      </c>
      <c r="S24" s="13">
        <f t="shared" si="1"/>
        <v>16.200000000000003</v>
      </c>
      <c r="T24" s="14" t="s">
        <v>117</v>
      </c>
      <c r="U24" s="3" t="s">
        <v>300</v>
      </c>
      <c r="V24" s="12">
        <v>1.62</v>
      </c>
      <c r="W24" s="11" t="s">
        <v>119</v>
      </c>
      <c r="X24" s="11">
        <v>1</v>
      </c>
      <c r="Y24" s="11">
        <v>1</v>
      </c>
      <c r="Z24" s="11" t="s">
        <v>120</v>
      </c>
      <c r="AA24" s="11" t="s">
        <v>121</v>
      </c>
      <c r="AB24" s="3" t="s">
        <v>301</v>
      </c>
      <c r="AC24" s="14" t="s">
        <v>117</v>
      </c>
      <c r="AD24" s="14" t="s">
        <v>123</v>
      </c>
      <c r="AE24" s="11"/>
      <c r="AF24" s="3" t="s">
        <v>13</v>
      </c>
      <c r="AG24" s="3" t="s">
        <v>302</v>
      </c>
      <c r="AH24" s="3" t="s">
        <v>303</v>
      </c>
      <c r="AI24" s="23" t="s">
        <v>304</v>
      </c>
      <c r="AJ24" s="11">
        <f>IF(L24&gt;0,IFERROR(MATCH(O24,Кошики!$A$2:$A$10,0),99)*1000+ROW(),"")</f>
        <v>1024</v>
      </c>
    </row>
    <row r="25" spans="1:36" ht="66" x14ac:dyDescent="0.3">
      <c r="A25" s="11">
        <v>20</v>
      </c>
      <c r="B25" s="8" t="s">
        <v>305</v>
      </c>
      <c r="C25" s="3" t="s">
        <v>306</v>
      </c>
      <c r="D25" s="3" t="s">
        <v>307</v>
      </c>
      <c r="E25" s="3" t="s">
        <v>308</v>
      </c>
      <c r="F25" s="11">
        <v>1</v>
      </c>
      <c r="G25" s="11" t="s">
        <v>112</v>
      </c>
      <c r="H25" s="11">
        <f>F25*Інструкція!$C$5</f>
        <v>5</v>
      </c>
      <c r="I25" s="11">
        <f>IF(H25=0,0,MAX(ROUNDUP(H25*INDEX(Інструкція!$C$9:$C$13,MATCH(AF25,Інструкція!$B$9:$B$13,0)),0),INDEX(Інструкція!$D$9:$D$13,MATCH(AF25,Інструкція!$B$9:$B$13,0))))</f>
        <v>3</v>
      </c>
      <c r="J25" s="4">
        <v>0</v>
      </c>
      <c r="K25" s="4">
        <v>0</v>
      </c>
      <c r="L25" s="21">
        <f t="shared" si="0"/>
        <v>100</v>
      </c>
      <c r="M25" s="11">
        <f>IF(N25="магазин",L25+K25-H25,IF(N25="книга резисторів 0603",(Набори!$D$5+Набори!$E$5)*Набори!$F$5-H25,""))</f>
        <v>95</v>
      </c>
      <c r="N25" s="4" t="s">
        <v>113</v>
      </c>
      <c r="O25" s="22" t="s">
        <v>114</v>
      </c>
      <c r="P25" s="3" t="s">
        <v>309</v>
      </c>
      <c r="Q25" s="11" t="s">
        <v>116</v>
      </c>
      <c r="R25" s="12">
        <f>IF(V25="","",IF(W25="без ПДВ",V25*(1+Інструкція!$C$6),V25))</f>
        <v>0.104</v>
      </c>
      <c r="S25" s="13">
        <f t="shared" si="1"/>
        <v>10.4</v>
      </c>
      <c r="T25" s="14" t="s">
        <v>117</v>
      </c>
      <c r="U25" s="3" t="s">
        <v>310</v>
      </c>
      <c r="V25" s="12">
        <v>0.104</v>
      </c>
      <c r="W25" s="11" t="s">
        <v>119</v>
      </c>
      <c r="X25" s="11">
        <v>100</v>
      </c>
      <c r="Y25" s="11">
        <v>100</v>
      </c>
      <c r="Z25" s="11" t="s">
        <v>120</v>
      </c>
      <c r="AA25" s="11" t="s">
        <v>121</v>
      </c>
      <c r="AB25" s="3" t="s">
        <v>311</v>
      </c>
      <c r="AC25" s="14" t="s">
        <v>117</v>
      </c>
      <c r="AD25" s="14" t="s">
        <v>123</v>
      </c>
      <c r="AE25" s="11"/>
      <c r="AF25" s="3" t="s">
        <v>11</v>
      </c>
      <c r="AG25" s="3" t="s">
        <v>312</v>
      </c>
      <c r="AH25" s="3" t="s">
        <v>313</v>
      </c>
      <c r="AI25" s="23" t="s">
        <v>314</v>
      </c>
      <c r="AJ25" s="11">
        <f>IF(L25&gt;0,IFERROR(MATCH(O25,Кошики!$A$2:$A$10,0),99)*1000+ROW(),"")</f>
        <v>1025</v>
      </c>
    </row>
    <row r="26" spans="1:36" ht="66" x14ac:dyDescent="0.3">
      <c r="A26" s="11">
        <v>21</v>
      </c>
      <c r="B26" s="8" t="s">
        <v>315</v>
      </c>
      <c r="C26" s="3" t="s">
        <v>316</v>
      </c>
      <c r="D26" s="3" t="s">
        <v>307</v>
      </c>
      <c r="E26" s="3" t="s">
        <v>317</v>
      </c>
      <c r="F26" s="11">
        <v>1</v>
      </c>
      <c r="G26" s="11" t="s">
        <v>112</v>
      </c>
      <c r="H26" s="11">
        <f>F26*Інструкція!$C$5</f>
        <v>5</v>
      </c>
      <c r="I26" s="11">
        <f>IF(H26=0,0,MAX(ROUNDUP(H26*INDEX(Інструкція!$C$9:$C$13,MATCH(AF26,Інструкція!$B$9:$B$13,0)),0),INDEX(Інструкція!$D$9:$D$13,MATCH(AF26,Інструкція!$B$9:$B$13,0))))</f>
        <v>3</v>
      </c>
      <c r="J26" s="4">
        <v>0</v>
      </c>
      <c r="K26" s="4">
        <v>0</v>
      </c>
      <c r="L26" s="21">
        <f t="shared" si="0"/>
        <v>100</v>
      </c>
      <c r="M26" s="11">
        <f>IF(N26="магазин",L26+K26-H26,IF(N26="книга резисторів 0603",(Набори!$D$5+Набори!$E$5)*Набори!$F$5-H26,""))</f>
        <v>95</v>
      </c>
      <c r="N26" s="4" t="s">
        <v>113</v>
      </c>
      <c r="O26" s="22" t="s">
        <v>114</v>
      </c>
      <c r="P26" s="3" t="s">
        <v>318</v>
      </c>
      <c r="Q26" s="11" t="s">
        <v>116</v>
      </c>
      <c r="R26" s="12">
        <f>IF(V26="","",IF(W26="без ПДВ",V26*(1+Інструкція!$C$6),V26))</f>
        <v>0.11700000000000001</v>
      </c>
      <c r="S26" s="13">
        <f t="shared" si="1"/>
        <v>11.700000000000001</v>
      </c>
      <c r="T26" s="14" t="s">
        <v>117</v>
      </c>
      <c r="U26" s="3" t="s">
        <v>319</v>
      </c>
      <c r="V26" s="12">
        <v>0.11700000000000001</v>
      </c>
      <c r="W26" s="11" t="s">
        <v>119</v>
      </c>
      <c r="X26" s="11">
        <v>100</v>
      </c>
      <c r="Y26" s="11">
        <v>100</v>
      </c>
      <c r="Z26" s="11" t="s">
        <v>120</v>
      </c>
      <c r="AA26" s="11" t="s">
        <v>121</v>
      </c>
      <c r="AB26" s="3" t="s">
        <v>311</v>
      </c>
      <c r="AC26" s="14" t="s">
        <v>117</v>
      </c>
      <c r="AD26" s="14" t="s">
        <v>123</v>
      </c>
      <c r="AE26" s="11"/>
      <c r="AF26" s="3" t="s">
        <v>11</v>
      </c>
      <c r="AG26" s="3" t="s">
        <v>320</v>
      </c>
      <c r="AH26" s="3" t="s">
        <v>321</v>
      </c>
      <c r="AI26" s="23" t="s">
        <v>322</v>
      </c>
      <c r="AJ26" s="11">
        <f>IF(L26&gt;0,IFERROR(MATCH(O26,Кошики!$A$2:$A$10,0),99)*1000+ROW(),"")</f>
        <v>1026</v>
      </c>
    </row>
    <row r="27" spans="1:36" ht="66" x14ac:dyDescent="0.3">
      <c r="A27" s="11">
        <v>22</v>
      </c>
      <c r="B27" s="8" t="s">
        <v>323</v>
      </c>
      <c r="C27" s="3" t="s">
        <v>324</v>
      </c>
      <c r="D27" s="3" t="s">
        <v>307</v>
      </c>
      <c r="E27" s="3" t="s">
        <v>325</v>
      </c>
      <c r="F27" s="11">
        <v>1</v>
      </c>
      <c r="G27" s="11" t="s">
        <v>112</v>
      </c>
      <c r="H27" s="11">
        <f>F27*Інструкція!$C$5</f>
        <v>5</v>
      </c>
      <c r="I27" s="11">
        <f>IF(H27=0,0,MAX(ROUNDUP(H27*INDEX(Інструкція!$C$9:$C$13,MATCH(AF27,Інструкція!$B$9:$B$13,0)),0),INDEX(Інструкція!$D$9:$D$13,MATCH(AF27,Інструкція!$B$9:$B$13,0))))</f>
        <v>3</v>
      </c>
      <c r="J27" s="4">
        <v>0</v>
      </c>
      <c r="K27" s="4">
        <v>0</v>
      </c>
      <c r="L27" s="21">
        <f t="shared" si="0"/>
        <v>100</v>
      </c>
      <c r="M27" s="11">
        <f>IF(N27="магазин",L27+K27-H27,IF(N27="книга резисторів 0603",(Набори!$D$5+Набори!$E$5)*Набори!$F$5-H27,""))</f>
        <v>95</v>
      </c>
      <c r="N27" s="4" t="s">
        <v>113</v>
      </c>
      <c r="O27" s="22" t="s">
        <v>114</v>
      </c>
      <c r="P27" s="3" t="s">
        <v>326</v>
      </c>
      <c r="Q27" s="11" t="s">
        <v>116</v>
      </c>
      <c r="R27" s="12">
        <f>IF(V27="","",IF(W27="без ПДВ",V27*(1+Інструкція!$C$6),V27))</f>
        <v>0.26200000000000001</v>
      </c>
      <c r="S27" s="13">
        <f t="shared" si="1"/>
        <v>26.200000000000003</v>
      </c>
      <c r="T27" s="14" t="s">
        <v>117</v>
      </c>
      <c r="U27" s="3" t="s">
        <v>327</v>
      </c>
      <c r="V27" s="12">
        <v>0.26200000000000001</v>
      </c>
      <c r="W27" s="11" t="s">
        <v>119</v>
      </c>
      <c r="X27" s="11">
        <v>100</v>
      </c>
      <c r="Y27" s="11">
        <v>100</v>
      </c>
      <c r="Z27" s="11" t="s">
        <v>120</v>
      </c>
      <c r="AA27" s="11" t="s">
        <v>121</v>
      </c>
      <c r="AB27" s="3" t="s">
        <v>311</v>
      </c>
      <c r="AC27" s="14" t="s">
        <v>117</v>
      </c>
      <c r="AD27" s="14" t="s">
        <v>123</v>
      </c>
      <c r="AE27" s="11"/>
      <c r="AF27" s="3" t="s">
        <v>11</v>
      </c>
      <c r="AG27" s="3" t="s">
        <v>328</v>
      </c>
      <c r="AH27" s="3" t="s">
        <v>329</v>
      </c>
      <c r="AI27" s="23" t="s">
        <v>330</v>
      </c>
      <c r="AJ27" s="11">
        <f>IF(L27&gt;0,IFERROR(MATCH(O27,Кошики!$A$2:$A$10,0),99)*1000+ROW(),"")</f>
        <v>1027</v>
      </c>
    </row>
    <row r="28" spans="1:36" ht="66" x14ac:dyDescent="0.3">
      <c r="A28" s="11">
        <v>23</v>
      </c>
      <c r="B28" s="8" t="s">
        <v>331</v>
      </c>
      <c r="C28" s="3" t="s">
        <v>332</v>
      </c>
      <c r="D28" s="3" t="s">
        <v>307</v>
      </c>
      <c r="E28" s="3" t="s">
        <v>333</v>
      </c>
      <c r="F28" s="11">
        <v>5</v>
      </c>
      <c r="G28" s="11" t="s">
        <v>112</v>
      </c>
      <c r="H28" s="11">
        <f>F28*Інструкція!$C$5</f>
        <v>25</v>
      </c>
      <c r="I28" s="11">
        <f>IF(H28=0,0,MAX(ROUNDUP(H28*INDEX(Інструкція!$C$9:$C$13,MATCH(AF28,Інструкція!$B$9:$B$13,0)),0),INDEX(Інструкція!$D$9:$D$13,MATCH(AF28,Інструкція!$B$9:$B$13,0))))</f>
        <v>5</v>
      </c>
      <c r="J28" s="4">
        <v>0</v>
      </c>
      <c r="K28" s="4">
        <v>0</v>
      </c>
      <c r="L28" s="21">
        <f t="shared" si="0"/>
        <v>100</v>
      </c>
      <c r="M28" s="11">
        <f>IF(N28="магазин",L28+K28-H28,IF(N28="книга резисторів 0603",(Набори!$D$5+Набори!$E$5)*Набори!$F$5-H28,""))</f>
        <v>75</v>
      </c>
      <c r="N28" s="4" t="s">
        <v>113</v>
      </c>
      <c r="O28" s="22" t="s">
        <v>114</v>
      </c>
      <c r="P28" s="3" t="s">
        <v>334</v>
      </c>
      <c r="Q28" s="11" t="s">
        <v>116</v>
      </c>
      <c r="R28" s="12">
        <f>IF(V28="","",IF(W28="без ПДВ",V28*(1+Інструкція!$C$6),V28))</f>
        <v>0.1404</v>
      </c>
      <c r="S28" s="13">
        <f t="shared" si="1"/>
        <v>14.04</v>
      </c>
      <c r="T28" s="14" t="s">
        <v>117</v>
      </c>
      <c r="U28" s="3" t="s">
        <v>335</v>
      </c>
      <c r="V28" s="12">
        <v>0.1404</v>
      </c>
      <c r="W28" s="11" t="s">
        <v>119</v>
      </c>
      <c r="X28" s="11">
        <v>100</v>
      </c>
      <c r="Y28" s="11">
        <v>100</v>
      </c>
      <c r="Z28" s="11" t="s">
        <v>120</v>
      </c>
      <c r="AA28" s="11" t="s">
        <v>121</v>
      </c>
      <c r="AB28" s="3" t="s">
        <v>311</v>
      </c>
      <c r="AC28" s="14" t="s">
        <v>117</v>
      </c>
      <c r="AD28" s="14" t="s">
        <v>123</v>
      </c>
      <c r="AE28" s="11"/>
      <c r="AF28" s="3" t="s">
        <v>11</v>
      </c>
      <c r="AG28" s="3" t="s">
        <v>336</v>
      </c>
      <c r="AH28" s="3" t="s">
        <v>337</v>
      </c>
      <c r="AI28" s="23" t="s">
        <v>338</v>
      </c>
      <c r="AJ28" s="11">
        <f>IF(L28&gt;0,IFERROR(MATCH(O28,Кошики!$A$2:$A$10,0),99)*1000+ROW(),"")</f>
        <v>1028</v>
      </c>
    </row>
    <row r="29" spans="1:36" ht="66" x14ac:dyDescent="0.3">
      <c r="A29" s="11">
        <v>24</v>
      </c>
      <c r="B29" s="8" t="s">
        <v>339</v>
      </c>
      <c r="C29" s="3" t="s">
        <v>340</v>
      </c>
      <c r="D29" s="3" t="s">
        <v>307</v>
      </c>
      <c r="E29" s="3" t="s">
        <v>341</v>
      </c>
      <c r="F29" s="11">
        <v>2</v>
      </c>
      <c r="G29" s="11" t="s">
        <v>112</v>
      </c>
      <c r="H29" s="11">
        <f>F29*Інструкція!$C$5</f>
        <v>10</v>
      </c>
      <c r="I29" s="11">
        <f>IF(H29=0,0,MAX(ROUNDUP(H29*INDEX(Інструкція!$C$9:$C$13,MATCH(AF29,Інструкція!$B$9:$B$13,0)),0),INDEX(Інструкція!$D$9:$D$13,MATCH(AF29,Інструкція!$B$9:$B$13,0))))</f>
        <v>3</v>
      </c>
      <c r="J29" s="4">
        <v>0</v>
      </c>
      <c r="K29" s="4">
        <v>0</v>
      </c>
      <c r="L29" s="21">
        <f t="shared" si="0"/>
        <v>100</v>
      </c>
      <c r="M29" s="11">
        <f>IF(N29="магазин",L29+K29-H29,IF(N29="книга резисторів 0603",(Набори!$D$5+Набори!$E$5)*Набори!$F$5-H29,""))</f>
        <v>90</v>
      </c>
      <c r="N29" s="4" t="s">
        <v>113</v>
      </c>
      <c r="O29" s="22" t="s">
        <v>114</v>
      </c>
      <c r="P29" s="3" t="s">
        <v>342</v>
      </c>
      <c r="Q29" s="11" t="s">
        <v>116</v>
      </c>
      <c r="R29" s="12">
        <f>IF(V29="","",IF(W29="без ПДВ",V29*(1+Інструкція!$C$6),V29))</f>
        <v>0.182</v>
      </c>
      <c r="S29" s="13">
        <f t="shared" si="1"/>
        <v>18.2</v>
      </c>
      <c r="T29" s="14" t="s">
        <v>117</v>
      </c>
      <c r="U29" s="3" t="s">
        <v>343</v>
      </c>
      <c r="V29" s="12">
        <v>0.182</v>
      </c>
      <c r="W29" s="11" t="s">
        <v>119</v>
      </c>
      <c r="X29" s="11">
        <v>100</v>
      </c>
      <c r="Y29" s="11">
        <v>100</v>
      </c>
      <c r="Z29" s="11" t="s">
        <v>120</v>
      </c>
      <c r="AA29" s="11" t="s">
        <v>121</v>
      </c>
      <c r="AB29" s="3" t="s">
        <v>311</v>
      </c>
      <c r="AC29" s="14" t="s">
        <v>117</v>
      </c>
      <c r="AD29" s="14" t="s">
        <v>123</v>
      </c>
      <c r="AE29" s="11"/>
      <c r="AF29" s="3" t="s">
        <v>11</v>
      </c>
      <c r="AG29" s="3" t="s">
        <v>344</v>
      </c>
      <c r="AH29" s="3" t="s">
        <v>345</v>
      </c>
      <c r="AI29" s="23" t="s">
        <v>346</v>
      </c>
      <c r="AJ29" s="11">
        <f>IF(L29&gt;0,IFERROR(MATCH(O29,Кошики!$A$2:$A$10,0),99)*1000+ROW(),"")</f>
        <v>1029</v>
      </c>
    </row>
    <row r="30" spans="1:36" ht="66" x14ac:dyDescent="0.3">
      <c r="A30" s="11">
        <v>25</v>
      </c>
      <c r="B30" s="8" t="s">
        <v>347</v>
      </c>
      <c r="C30" s="3" t="s">
        <v>348</v>
      </c>
      <c r="D30" s="3" t="s">
        <v>307</v>
      </c>
      <c r="E30" s="3" t="s">
        <v>349</v>
      </c>
      <c r="F30" s="11">
        <v>2</v>
      </c>
      <c r="G30" s="11" t="s">
        <v>112</v>
      </c>
      <c r="H30" s="11">
        <f>F30*Інструкція!$C$5</f>
        <v>10</v>
      </c>
      <c r="I30" s="11">
        <f>IF(H30=0,0,MAX(ROUNDUP(H30*INDEX(Інструкція!$C$9:$C$13,MATCH(AF30,Інструкція!$B$9:$B$13,0)),0),INDEX(Інструкція!$D$9:$D$13,MATCH(AF30,Інструкція!$B$9:$B$13,0))))</f>
        <v>3</v>
      </c>
      <c r="J30" s="4">
        <v>0</v>
      </c>
      <c r="K30" s="4">
        <v>0</v>
      </c>
      <c r="L30" s="21">
        <f t="shared" si="0"/>
        <v>100</v>
      </c>
      <c r="M30" s="11">
        <f>IF(N30="магазин",L30+K30-H30,IF(N30="книга резисторів 0603",(Набори!$D$5+Набори!$E$5)*Набори!$F$5-H30,""))</f>
        <v>90</v>
      </c>
      <c r="N30" s="4" t="s">
        <v>113</v>
      </c>
      <c r="O30" s="22" t="s">
        <v>114</v>
      </c>
      <c r="P30" s="3" t="s">
        <v>350</v>
      </c>
      <c r="Q30" s="11" t="s">
        <v>116</v>
      </c>
      <c r="R30" s="12">
        <f>IF(V30="","",IF(W30="без ПДВ",V30*(1+Інструкція!$C$6),V30))</f>
        <v>0.20799999999999999</v>
      </c>
      <c r="S30" s="13">
        <f t="shared" si="1"/>
        <v>20.8</v>
      </c>
      <c r="T30" s="14" t="s">
        <v>117</v>
      </c>
      <c r="U30" s="3" t="s">
        <v>351</v>
      </c>
      <c r="V30" s="12">
        <v>0.20799999999999999</v>
      </c>
      <c r="W30" s="11" t="s">
        <v>119</v>
      </c>
      <c r="X30" s="11">
        <v>100</v>
      </c>
      <c r="Y30" s="11">
        <v>100</v>
      </c>
      <c r="Z30" s="11" t="s">
        <v>120</v>
      </c>
      <c r="AA30" s="11" t="s">
        <v>121</v>
      </c>
      <c r="AB30" s="3" t="s">
        <v>311</v>
      </c>
      <c r="AC30" s="14" t="s">
        <v>117</v>
      </c>
      <c r="AD30" s="14" t="s">
        <v>123</v>
      </c>
      <c r="AE30" s="11"/>
      <c r="AF30" s="3" t="s">
        <v>11</v>
      </c>
      <c r="AG30" s="3" t="s">
        <v>352</v>
      </c>
      <c r="AH30" s="3" t="s">
        <v>353</v>
      </c>
      <c r="AI30" s="23" t="s">
        <v>354</v>
      </c>
      <c r="AJ30" s="11">
        <f>IF(L30&gt;0,IFERROR(MATCH(O30,Кошики!$A$2:$A$10,0),99)*1000+ROW(),"")</f>
        <v>1030</v>
      </c>
    </row>
    <row r="31" spans="1:36" ht="52.8" x14ac:dyDescent="0.3">
      <c r="A31" s="11">
        <v>26</v>
      </c>
      <c r="B31" s="8" t="s">
        <v>355</v>
      </c>
      <c r="C31" s="3" t="s">
        <v>356</v>
      </c>
      <c r="D31" s="3" t="s">
        <v>357</v>
      </c>
      <c r="E31" s="3" t="s">
        <v>358</v>
      </c>
      <c r="F31" s="11">
        <v>1</v>
      </c>
      <c r="G31" s="11" t="s">
        <v>112</v>
      </c>
      <c r="H31" s="11">
        <f>F31*Інструкція!$C$5</f>
        <v>5</v>
      </c>
      <c r="I31" s="11">
        <f>IF(H31=0,0,MAX(ROUNDUP(H31*INDEX(Інструкція!$C$9:$C$13,MATCH(AF31,Інструкція!$B$9:$B$13,0)),0),INDEX(Інструкція!$D$9:$D$13,MATCH(AF31,Інструкція!$B$9:$B$13,0))))</f>
        <v>3</v>
      </c>
      <c r="J31" s="4">
        <v>20</v>
      </c>
      <c r="K31" s="4">
        <v>0</v>
      </c>
      <c r="L31" s="21">
        <f t="shared" si="0"/>
        <v>20</v>
      </c>
      <c r="M31" s="11">
        <f>IF(N31="магазин",L31+K31-H31,IF(N31="книга резисторів 0603",(Набори!$D$5+Набори!$E$5)*Набори!$F$5-H31,""))</f>
        <v>15</v>
      </c>
      <c r="N31" s="4" t="s">
        <v>113</v>
      </c>
      <c r="O31" s="22" t="s">
        <v>114</v>
      </c>
      <c r="P31" s="3" t="s">
        <v>359</v>
      </c>
      <c r="Q31" s="11" t="s">
        <v>116</v>
      </c>
      <c r="R31" s="12">
        <f>IF(V31="","",IF(W31="без ПДВ",V31*(1+Інструкція!$C$6),V31))</f>
        <v>5.12</v>
      </c>
      <c r="S31" s="13">
        <f t="shared" si="1"/>
        <v>102.4</v>
      </c>
      <c r="T31" s="14" t="s">
        <v>117</v>
      </c>
      <c r="U31" s="3" t="s">
        <v>360</v>
      </c>
      <c r="V31" s="12">
        <v>5.12</v>
      </c>
      <c r="W31" s="11" t="s">
        <v>119</v>
      </c>
      <c r="X31" s="11">
        <v>1</v>
      </c>
      <c r="Y31" s="11">
        <v>1</v>
      </c>
      <c r="Z31" s="11" t="s">
        <v>120</v>
      </c>
      <c r="AA31" s="11" t="s">
        <v>121</v>
      </c>
      <c r="AB31" s="3" t="s">
        <v>361</v>
      </c>
      <c r="AC31" s="14" t="s">
        <v>117</v>
      </c>
      <c r="AD31" s="14" t="s">
        <v>123</v>
      </c>
      <c r="AE31" s="11"/>
      <c r="AF31" s="3" t="s">
        <v>11</v>
      </c>
      <c r="AG31" s="3" t="s">
        <v>362</v>
      </c>
      <c r="AH31" s="3" t="s">
        <v>363</v>
      </c>
      <c r="AI31" s="23" t="s">
        <v>364</v>
      </c>
      <c r="AJ31" s="11">
        <f>IF(L31&gt;0,IFERROR(MATCH(O31,Кошики!$A$2:$A$10,0),99)*1000+ROW(),"")</f>
        <v>1031</v>
      </c>
    </row>
    <row r="32" spans="1:36" ht="52.8" x14ac:dyDescent="0.3">
      <c r="A32" s="11">
        <v>27</v>
      </c>
      <c r="B32" s="8" t="s">
        <v>365</v>
      </c>
      <c r="C32" s="3" t="s">
        <v>366</v>
      </c>
      <c r="D32" s="3" t="s">
        <v>307</v>
      </c>
      <c r="E32" s="3" t="s">
        <v>367</v>
      </c>
      <c r="F32" s="11">
        <v>1</v>
      </c>
      <c r="G32" s="11" t="s">
        <v>112</v>
      </c>
      <c r="H32" s="11">
        <f>F32*Інструкція!$C$5</f>
        <v>5</v>
      </c>
      <c r="I32" s="11">
        <f>IF(H32=0,0,MAX(ROUNDUP(H32*INDEX(Інструкція!$C$9:$C$13,MATCH(AF32,Інструкція!$B$9:$B$13,0)),0),INDEX(Інструкція!$D$9:$D$13,MATCH(AF32,Інструкція!$B$9:$B$13,0))))</f>
        <v>3</v>
      </c>
      <c r="J32" s="4">
        <v>10</v>
      </c>
      <c r="K32" s="4">
        <v>0</v>
      </c>
      <c r="L32" s="21">
        <f t="shared" si="0"/>
        <v>10</v>
      </c>
      <c r="M32" s="11">
        <f>IF(N32="магазин",L32+K32-H32,IF(N32="книга резисторів 0603",(Набори!$D$5+Набори!$E$5)*Набори!$F$5-H32,""))</f>
        <v>5</v>
      </c>
      <c r="N32" s="4" t="s">
        <v>113</v>
      </c>
      <c r="O32" s="22" t="s">
        <v>228</v>
      </c>
      <c r="P32" s="3" t="s">
        <v>368</v>
      </c>
      <c r="Q32" s="11" t="s">
        <v>116</v>
      </c>
      <c r="R32" s="12">
        <f>IF(V32="","",IF(W32="без ПДВ",V32*(1+Інструкція!$C$6),V32))</f>
        <v>2.0699999999999998</v>
      </c>
      <c r="S32" s="13">
        <f t="shared" si="1"/>
        <v>20.7</v>
      </c>
      <c r="T32" s="14" t="s">
        <v>117</v>
      </c>
      <c r="U32" s="3" t="s">
        <v>369</v>
      </c>
      <c r="V32" s="12">
        <v>2.0699999999999998</v>
      </c>
      <c r="W32" s="11" t="s">
        <v>281</v>
      </c>
      <c r="X32" s="11">
        <v>10</v>
      </c>
      <c r="Y32" s="11">
        <v>1</v>
      </c>
      <c r="Z32" s="11" t="s">
        <v>120</v>
      </c>
      <c r="AA32" s="11" t="s">
        <v>121</v>
      </c>
      <c r="AB32" s="3" t="s">
        <v>370</v>
      </c>
      <c r="AC32" s="14" t="s">
        <v>117</v>
      </c>
      <c r="AD32" s="14" t="s">
        <v>123</v>
      </c>
      <c r="AE32" s="11"/>
      <c r="AF32" s="3" t="s">
        <v>11</v>
      </c>
      <c r="AG32" s="3" t="s">
        <v>371</v>
      </c>
      <c r="AH32" s="3" t="s">
        <v>372</v>
      </c>
      <c r="AI32" s="23" t="s">
        <v>373</v>
      </c>
      <c r="AJ32" s="11">
        <f>IF(L32&gt;0,IFERROR(MATCH(O32,Кошики!$A$2:$A$10,0),99)*1000+ROW(),"")</f>
        <v>2032</v>
      </c>
    </row>
    <row r="33" spans="1:36" ht="66" x14ac:dyDescent="0.3">
      <c r="A33" s="11">
        <v>28</v>
      </c>
      <c r="B33" s="8" t="s">
        <v>374</v>
      </c>
      <c r="C33" s="3" t="s">
        <v>375</v>
      </c>
      <c r="D33" s="3" t="s">
        <v>307</v>
      </c>
      <c r="E33" s="3" t="s">
        <v>376</v>
      </c>
      <c r="F33" s="11">
        <v>4</v>
      </c>
      <c r="G33" s="11" t="s">
        <v>112</v>
      </c>
      <c r="H33" s="11">
        <f>F33*Інструкція!$C$5</f>
        <v>20</v>
      </c>
      <c r="I33" s="11">
        <f>IF(H33=0,0,MAX(ROUNDUP(H33*INDEX(Інструкція!$C$9:$C$13,MATCH(AF33,Інструкція!$B$9:$B$13,0)),0),INDEX(Інструкція!$D$9:$D$13,MATCH(AF33,Інструкція!$B$9:$B$13,0))))</f>
        <v>4</v>
      </c>
      <c r="J33" s="4">
        <v>0</v>
      </c>
      <c r="K33" s="4">
        <v>0</v>
      </c>
      <c r="L33" s="21">
        <f t="shared" si="0"/>
        <v>100</v>
      </c>
      <c r="M33" s="11">
        <f>IF(N33="магазин",L33+K33-H33,IF(N33="книга резисторів 0603",(Набори!$D$5+Набори!$E$5)*Набори!$F$5-H33,""))</f>
        <v>80</v>
      </c>
      <c r="N33" s="4" t="s">
        <v>113</v>
      </c>
      <c r="O33" s="22" t="s">
        <v>114</v>
      </c>
      <c r="P33" s="3" t="s">
        <v>377</v>
      </c>
      <c r="Q33" s="11" t="s">
        <v>116</v>
      </c>
      <c r="R33" s="12">
        <f>IF(V33="","",IF(W33="без ПДВ",V33*(1+Інструкція!$C$6),V33))</f>
        <v>0.13750000000000001</v>
      </c>
      <c r="S33" s="13">
        <f t="shared" si="1"/>
        <v>13.750000000000002</v>
      </c>
      <c r="T33" s="14" t="s">
        <v>117</v>
      </c>
      <c r="U33" s="3" t="s">
        <v>378</v>
      </c>
      <c r="V33" s="12">
        <v>0.13750000000000001</v>
      </c>
      <c r="W33" s="11" t="s">
        <v>119</v>
      </c>
      <c r="X33" s="11">
        <v>100</v>
      </c>
      <c r="Y33" s="11">
        <v>100</v>
      </c>
      <c r="Z33" s="11" t="s">
        <v>120</v>
      </c>
      <c r="AA33" s="11" t="s">
        <v>121</v>
      </c>
      <c r="AB33" s="3" t="s">
        <v>311</v>
      </c>
      <c r="AC33" s="14" t="s">
        <v>117</v>
      </c>
      <c r="AD33" s="14" t="s">
        <v>123</v>
      </c>
      <c r="AE33" s="11"/>
      <c r="AF33" s="3" t="s">
        <v>11</v>
      </c>
      <c r="AG33" s="3" t="s">
        <v>379</v>
      </c>
      <c r="AH33" s="3" t="s">
        <v>380</v>
      </c>
      <c r="AI33" s="23" t="s">
        <v>381</v>
      </c>
      <c r="AJ33" s="11">
        <f>IF(L33&gt;0,IFERROR(MATCH(O33,Кошики!$A$2:$A$10,0),99)*1000+ROW(),"")</f>
        <v>1033</v>
      </c>
    </row>
    <row r="34" spans="1:36" ht="66" x14ac:dyDescent="0.3">
      <c r="A34" s="11">
        <v>29</v>
      </c>
      <c r="B34" s="8" t="s">
        <v>382</v>
      </c>
      <c r="C34" s="3" t="s">
        <v>383</v>
      </c>
      <c r="D34" s="3" t="s">
        <v>307</v>
      </c>
      <c r="E34" s="3" t="s">
        <v>384</v>
      </c>
      <c r="F34" s="11">
        <v>2</v>
      </c>
      <c r="G34" s="11" t="s">
        <v>112</v>
      </c>
      <c r="H34" s="11">
        <f>F34*Інструкція!$C$5</f>
        <v>10</v>
      </c>
      <c r="I34" s="11">
        <f>IF(H34=0,0,MAX(ROUNDUP(H34*INDEX(Інструкція!$C$9:$C$13,MATCH(AF34,Інструкція!$B$9:$B$13,0)),0),INDEX(Інструкція!$D$9:$D$13,MATCH(AF34,Інструкція!$B$9:$B$13,0))))</f>
        <v>3</v>
      </c>
      <c r="J34" s="4">
        <v>0</v>
      </c>
      <c r="K34" s="4">
        <v>0</v>
      </c>
      <c r="L34" s="21">
        <f t="shared" si="0"/>
        <v>100</v>
      </c>
      <c r="M34" s="11">
        <f>IF(N34="магазин",L34+K34-H34,IF(N34="книга резисторів 0603",(Набори!$D$5+Набори!$E$5)*Набори!$F$5-H34,""))</f>
        <v>90</v>
      </c>
      <c r="N34" s="4" t="s">
        <v>113</v>
      </c>
      <c r="O34" s="22" t="s">
        <v>114</v>
      </c>
      <c r="P34" s="3" t="s">
        <v>385</v>
      </c>
      <c r="Q34" s="11" t="s">
        <v>116</v>
      </c>
      <c r="R34" s="12">
        <f>IF(V34="","",IF(W34="без ПДВ",V34*(1+Інструкція!$C$6),V34))</f>
        <v>0.1517</v>
      </c>
      <c r="S34" s="13">
        <f t="shared" si="1"/>
        <v>15.17</v>
      </c>
      <c r="T34" s="14" t="s">
        <v>117</v>
      </c>
      <c r="U34" s="3" t="s">
        <v>386</v>
      </c>
      <c r="V34" s="12">
        <v>0.1517</v>
      </c>
      <c r="W34" s="11" t="s">
        <v>119</v>
      </c>
      <c r="X34" s="11">
        <v>100</v>
      </c>
      <c r="Y34" s="11">
        <v>100</v>
      </c>
      <c r="Z34" s="11" t="s">
        <v>120</v>
      </c>
      <c r="AA34" s="11" t="s">
        <v>121</v>
      </c>
      <c r="AB34" s="3" t="s">
        <v>311</v>
      </c>
      <c r="AC34" s="14" t="s">
        <v>117</v>
      </c>
      <c r="AD34" s="14" t="s">
        <v>123</v>
      </c>
      <c r="AE34" s="11"/>
      <c r="AF34" s="3" t="s">
        <v>11</v>
      </c>
      <c r="AG34" s="3" t="s">
        <v>387</v>
      </c>
      <c r="AH34" s="3" t="s">
        <v>388</v>
      </c>
      <c r="AI34" s="23" t="s">
        <v>389</v>
      </c>
      <c r="AJ34" s="11">
        <f>IF(L34&gt;0,IFERROR(MATCH(O34,Кошики!$A$2:$A$10,0),99)*1000+ROW(),"")</f>
        <v>1034</v>
      </c>
    </row>
    <row r="35" spans="1:36" ht="66" x14ac:dyDescent="0.3">
      <c r="A35" s="11">
        <v>30</v>
      </c>
      <c r="B35" s="8" t="s">
        <v>390</v>
      </c>
      <c r="C35" s="3" t="s">
        <v>391</v>
      </c>
      <c r="D35" s="3" t="s">
        <v>307</v>
      </c>
      <c r="E35" s="3" t="s">
        <v>392</v>
      </c>
      <c r="F35" s="11">
        <v>3</v>
      </c>
      <c r="G35" s="11" t="s">
        <v>112</v>
      </c>
      <c r="H35" s="11">
        <f>F35*Інструкція!$C$5</f>
        <v>15</v>
      </c>
      <c r="I35" s="11">
        <f>IF(H35=0,0,MAX(ROUNDUP(H35*INDEX(Інструкція!$C$9:$C$13,MATCH(AF35,Інструкція!$B$9:$B$13,0)),0),INDEX(Інструкція!$D$9:$D$13,MATCH(AF35,Інструкція!$B$9:$B$13,0))))</f>
        <v>3</v>
      </c>
      <c r="J35" s="4">
        <v>0</v>
      </c>
      <c r="K35" s="4">
        <v>0</v>
      </c>
      <c r="L35" s="21">
        <f t="shared" si="0"/>
        <v>100</v>
      </c>
      <c r="M35" s="11">
        <f>IF(N35="магазин",L35+K35-H35,IF(N35="книга резисторів 0603",(Набори!$D$5+Набори!$E$5)*Набори!$F$5-H35,""))</f>
        <v>85</v>
      </c>
      <c r="N35" s="4" t="s">
        <v>113</v>
      </c>
      <c r="O35" s="22" t="s">
        <v>114</v>
      </c>
      <c r="P35" s="3" t="s">
        <v>393</v>
      </c>
      <c r="Q35" s="11" t="s">
        <v>116</v>
      </c>
      <c r="R35" s="12">
        <f>IF(V35="","",IF(W35="без ПДВ",V35*(1+Інструкція!$C$6),V35))</f>
        <v>0.18079999999999999</v>
      </c>
      <c r="S35" s="13">
        <f t="shared" si="1"/>
        <v>18.079999999999998</v>
      </c>
      <c r="T35" s="14" t="s">
        <v>117</v>
      </c>
      <c r="U35" s="3" t="s">
        <v>394</v>
      </c>
      <c r="V35" s="12">
        <v>0.18079999999999999</v>
      </c>
      <c r="W35" s="11" t="s">
        <v>119</v>
      </c>
      <c r="X35" s="11">
        <v>100</v>
      </c>
      <c r="Y35" s="11">
        <v>100</v>
      </c>
      <c r="Z35" s="11" t="s">
        <v>120</v>
      </c>
      <c r="AA35" s="11" t="s">
        <v>121</v>
      </c>
      <c r="AB35" s="3" t="s">
        <v>311</v>
      </c>
      <c r="AC35" s="14" t="s">
        <v>117</v>
      </c>
      <c r="AD35" s="14" t="s">
        <v>123</v>
      </c>
      <c r="AE35" s="11"/>
      <c r="AF35" s="3" t="s">
        <v>11</v>
      </c>
      <c r="AG35" s="3" t="s">
        <v>395</v>
      </c>
      <c r="AH35" s="3" t="s">
        <v>396</v>
      </c>
      <c r="AI35" s="23" t="s">
        <v>397</v>
      </c>
      <c r="AJ35" s="11">
        <f>IF(L35&gt;0,IFERROR(MATCH(O35,Кошики!$A$2:$A$10,0),99)*1000+ROW(),"")</f>
        <v>1035</v>
      </c>
    </row>
    <row r="36" spans="1:36" ht="52.8" x14ac:dyDescent="0.3">
      <c r="A36" s="11">
        <v>31</v>
      </c>
      <c r="B36" s="8" t="s">
        <v>398</v>
      </c>
      <c r="C36" s="3" t="s">
        <v>399</v>
      </c>
      <c r="D36" s="3" t="s">
        <v>400</v>
      </c>
      <c r="E36" s="3" t="s">
        <v>401</v>
      </c>
      <c r="F36" s="11">
        <v>1</v>
      </c>
      <c r="G36" s="11" t="s">
        <v>112</v>
      </c>
      <c r="H36" s="11">
        <f>F36*Інструкція!$C$5</f>
        <v>5</v>
      </c>
      <c r="I36" s="11">
        <f>IF(H36=0,0,MAX(ROUNDUP(H36*INDEX(Інструкція!$C$9:$C$13,MATCH(AF36,Інструкція!$B$9:$B$13,0)),0),INDEX(Інструкція!$D$9:$D$13,MATCH(AF36,Інструкція!$B$9:$B$13,0))))</f>
        <v>3</v>
      </c>
      <c r="J36" s="4">
        <v>10</v>
      </c>
      <c r="K36" s="4">
        <v>0</v>
      </c>
      <c r="L36" s="21">
        <f t="shared" si="0"/>
        <v>10</v>
      </c>
      <c r="M36" s="11">
        <f>IF(N36="магазин",L36+K36-H36,IF(N36="книга резисторів 0603",(Набори!$D$5+Набори!$E$5)*Набори!$F$5-H36,""))</f>
        <v>5</v>
      </c>
      <c r="N36" s="4" t="s">
        <v>113</v>
      </c>
      <c r="O36" s="22" t="s">
        <v>114</v>
      </c>
      <c r="P36" s="3" t="s">
        <v>402</v>
      </c>
      <c r="Q36" s="11" t="s">
        <v>116</v>
      </c>
      <c r="R36" s="12">
        <f>IF(V36="","",IF(W36="без ПДВ",V36*(1+Інструкція!$C$6),V36))</f>
        <v>1.34</v>
      </c>
      <c r="S36" s="13">
        <f t="shared" si="1"/>
        <v>13.4</v>
      </c>
      <c r="T36" s="14" t="s">
        <v>117</v>
      </c>
      <c r="U36" s="3" t="s">
        <v>403</v>
      </c>
      <c r="V36" s="12">
        <v>1.34</v>
      </c>
      <c r="W36" s="11" t="s">
        <v>119</v>
      </c>
      <c r="X36" s="11">
        <v>1</v>
      </c>
      <c r="Y36" s="11">
        <v>1</v>
      </c>
      <c r="Z36" s="11" t="s">
        <v>120</v>
      </c>
      <c r="AA36" s="11" t="s">
        <v>121</v>
      </c>
      <c r="AB36" s="3" t="s">
        <v>404</v>
      </c>
      <c r="AC36" s="14" t="s">
        <v>117</v>
      </c>
      <c r="AD36" s="14" t="s">
        <v>123</v>
      </c>
      <c r="AE36" s="11"/>
      <c r="AF36" s="3" t="s">
        <v>11</v>
      </c>
      <c r="AG36" s="3" t="s">
        <v>405</v>
      </c>
      <c r="AH36" s="3" t="s">
        <v>406</v>
      </c>
      <c r="AI36" s="23" t="s">
        <v>407</v>
      </c>
      <c r="AJ36" s="11">
        <f>IF(L36&gt;0,IFERROR(MATCH(O36,Кошики!$A$2:$A$10,0),99)*1000+ROW(),"")</f>
        <v>1036</v>
      </c>
    </row>
    <row r="37" spans="1:36" ht="66" x14ac:dyDescent="0.3">
      <c r="A37" s="11">
        <v>32</v>
      </c>
      <c r="B37" s="8" t="s">
        <v>408</v>
      </c>
      <c r="C37" s="3" t="s">
        <v>332</v>
      </c>
      <c r="D37" s="3" t="s">
        <v>409</v>
      </c>
      <c r="E37" s="3" t="s">
        <v>410</v>
      </c>
      <c r="F37" s="11">
        <v>1</v>
      </c>
      <c r="G37" s="11" t="s">
        <v>112</v>
      </c>
      <c r="H37" s="11">
        <f>F37*Інструкція!$C$5</f>
        <v>5</v>
      </c>
      <c r="I37" s="11">
        <f>IF(H37=0,0,MAX(ROUNDUP(H37*INDEX(Інструкція!$C$9:$C$13,MATCH(AF37,Інструкція!$B$9:$B$13,0)),0),INDEX(Інструкція!$D$9:$D$13,MATCH(AF37,Інструкція!$B$9:$B$13,0))))</f>
        <v>3</v>
      </c>
      <c r="J37" s="4">
        <v>100</v>
      </c>
      <c r="K37" s="4">
        <v>0</v>
      </c>
      <c r="L37" s="21">
        <f t="shared" si="0"/>
        <v>100</v>
      </c>
      <c r="M37" s="11">
        <f>IF(N37="магазин",L37+K37-H37,IF(N37="книга резисторів 0603",(Набори!$D$5+Набори!$E$5)*Набори!$F$5-H37,""))</f>
        <v>95</v>
      </c>
      <c r="N37" s="4" t="s">
        <v>113</v>
      </c>
      <c r="O37" s="22" t="s">
        <v>114</v>
      </c>
      <c r="P37" s="3" t="s">
        <v>411</v>
      </c>
      <c r="Q37" s="11" t="s">
        <v>116</v>
      </c>
      <c r="R37" s="12">
        <f>IF(V37="","",IF(W37="без ПДВ",V37*(1+Інструкція!$C$6),V37))</f>
        <v>0.28079999999999999</v>
      </c>
      <c r="S37" s="13">
        <f t="shared" si="1"/>
        <v>28.08</v>
      </c>
      <c r="T37" s="14" t="s">
        <v>117</v>
      </c>
      <c r="U37" s="3" t="s">
        <v>412</v>
      </c>
      <c r="V37" s="12">
        <v>0.28079999999999999</v>
      </c>
      <c r="W37" s="11" t="s">
        <v>119</v>
      </c>
      <c r="X37" s="11">
        <v>100</v>
      </c>
      <c r="Y37" s="11">
        <v>100</v>
      </c>
      <c r="Z37" s="11" t="s">
        <v>120</v>
      </c>
      <c r="AA37" s="11" t="s">
        <v>121</v>
      </c>
      <c r="AB37" s="3" t="s">
        <v>413</v>
      </c>
      <c r="AC37" s="14" t="s">
        <v>117</v>
      </c>
      <c r="AD37" s="14" t="s">
        <v>123</v>
      </c>
      <c r="AE37" s="11"/>
      <c r="AF37" s="3" t="s">
        <v>11</v>
      </c>
      <c r="AG37" s="3" t="s">
        <v>414</v>
      </c>
      <c r="AH37" s="3" t="s">
        <v>415</v>
      </c>
      <c r="AI37" s="23" t="s">
        <v>416</v>
      </c>
      <c r="AJ37" s="11">
        <f>IF(L37&gt;0,IFERROR(MATCH(O37,Кошики!$A$2:$A$10,0),99)*1000+ROW(),"")</f>
        <v>1037</v>
      </c>
    </row>
    <row r="38" spans="1:36" ht="26.4" x14ac:dyDescent="0.3">
      <c r="A38" s="24">
        <v>33</v>
      </c>
      <c r="B38" s="25" t="s">
        <v>417</v>
      </c>
      <c r="C38" s="26" t="s">
        <v>418</v>
      </c>
      <c r="D38" s="26" t="s">
        <v>419</v>
      </c>
      <c r="E38" s="26" t="s">
        <v>420</v>
      </c>
      <c r="F38" s="24">
        <v>2</v>
      </c>
      <c r="G38" s="24" t="s">
        <v>112</v>
      </c>
      <c r="H38" s="24">
        <f>F38*Інструкція!$C$5</f>
        <v>10</v>
      </c>
      <c r="I38" s="24">
        <f>IF(H38=0,0,MAX(ROUNDUP(H38*INDEX(Інструкція!$C$9:$C$13,MATCH(AF38,Інструкція!$B$9:$B$13,0)),0),INDEX(Інструкція!$D$9:$D$13,MATCH(AF38,Інструкція!$B$9:$B$13,0))))</f>
        <v>0</v>
      </c>
      <c r="J38" s="4">
        <v>0</v>
      </c>
      <c r="K38" s="4">
        <v>0</v>
      </c>
      <c r="L38" s="21">
        <f t="shared" si="0"/>
        <v>0</v>
      </c>
      <c r="M38" s="24" t="str">
        <f>IF(N38="магазин",L38+K38-H38,IF(N38="книга резисторів 0603",(Набори!$D$5+Набори!$E$5)*Набори!$F$5-H38,""))</f>
        <v/>
      </c>
      <c r="N38" s="4" t="s">
        <v>241</v>
      </c>
      <c r="O38" s="22" t="s">
        <v>241</v>
      </c>
      <c r="P38" s="26" t="s">
        <v>421</v>
      </c>
      <c r="Q38" s="24" t="s">
        <v>241</v>
      </c>
      <c r="R38" s="27" t="str">
        <f>IF(V38="","",IF(W38="без ПДВ",V38*(1+Інструкція!$C$6),V38))</f>
        <v/>
      </c>
      <c r="S38" s="28">
        <f t="shared" si="1"/>
        <v>0</v>
      </c>
      <c r="T38" s="26"/>
      <c r="U38" s="26"/>
      <c r="V38" s="27"/>
      <c r="W38" s="24" t="s">
        <v>119</v>
      </c>
      <c r="X38" s="24">
        <v>1</v>
      </c>
      <c r="Y38" s="24">
        <v>1</v>
      </c>
      <c r="Z38" s="24"/>
      <c r="AA38" s="24"/>
      <c r="AB38" s="26"/>
      <c r="AC38" s="26"/>
      <c r="AD38" s="26"/>
      <c r="AE38" s="24"/>
      <c r="AF38" s="26" t="s">
        <v>19</v>
      </c>
      <c r="AG38" s="26" t="s">
        <v>422</v>
      </c>
      <c r="AH38" s="26" t="s">
        <v>244</v>
      </c>
      <c r="AI38" s="29"/>
      <c r="AJ38" s="24" t="str">
        <f>IF(L38&gt;0,IFERROR(MATCH(O38,Кошики!$A$2:$A$10,0),99)*1000+ROW(),"")</f>
        <v/>
      </c>
    </row>
    <row r="39" spans="1:36" ht="92.4" x14ac:dyDescent="0.3">
      <c r="A39" s="11">
        <v>34</v>
      </c>
      <c r="B39" s="8" t="s">
        <v>423</v>
      </c>
      <c r="C39" s="3" t="s">
        <v>424</v>
      </c>
      <c r="D39" s="3" t="s">
        <v>425</v>
      </c>
      <c r="E39" s="3" t="s">
        <v>426</v>
      </c>
      <c r="F39" s="11">
        <v>1</v>
      </c>
      <c r="G39" s="11" t="s">
        <v>112</v>
      </c>
      <c r="H39" s="11">
        <f>F39*Інструкція!$C$5</f>
        <v>5</v>
      </c>
      <c r="I39" s="11">
        <f>IF(H39=0,0,MAX(ROUNDUP(H39*INDEX(Інструкція!$C$9:$C$13,MATCH(AF39,Інструкція!$B$9:$B$13,0)),0),INDEX(Інструкція!$D$9:$D$13,MATCH(AF39,Інструкція!$B$9:$B$13,0))))</f>
        <v>1</v>
      </c>
      <c r="J39" s="4">
        <v>0</v>
      </c>
      <c r="K39" s="4">
        <v>0</v>
      </c>
      <c r="L39" s="21">
        <f t="shared" si="0"/>
        <v>6</v>
      </c>
      <c r="M39" s="11">
        <f>IF(N39="магазин",L39+K39-H39,IF(N39="книга резисторів 0603",(Набори!$D$5+Набори!$E$5)*Набори!$F$5-H39,""))</f>
        <v>1</v>
      </c>
      <c r="N39" s="4" t="s">
        <v>113</v>
      </c>
      <c r="O39" s="22" t="s">
        <v>228</v>
      </c>
      <c r="P39" s="3" t="s">
        <v>427</v>
      </c>
      <c r="Q39" s="11" t="s">
        <v>230</v>
      </c>
      <c r="R39" s="12">
        <f>IF(V39="","",IF(W39="без ПДВ",V39*(1+Інструкція!$C$6),V39))</f>
        <v>302.18399999999997</v>
      </c>
      <c r="S39" s="13">
        <f t="shared" si="1"/>
        <v>1813.1039999999998</v>
      </c>
      <c r="T39" s="14" t="s">
        <v>117</v>
      </c>
      <c r="U39" s="3" t="s">
        <v>428</v>
      </c>
      <c r="V39" s="12">
        <v>251.82</v>
      </c>
      <c r="W39" s="11" t="s">
        <v>232</v>
      </c>
      <c r="X39" s="11">
        <v>1</v>
      </c>
      <c r="Y39" s="11">
        <v>1</v>
      </c>
      <c r="Z39" s="11" t="s">
        <v>429</v>
      </c>
      <c r="AA39" s="11" t="s">
        <v>121</v>
      </c>
      <c r="AB39" s="3" t="s">
        <v>430</v>
      </c>
      <c r="AC39" s="14" t="s">
        <v>117</v>
      </c>
      <c r="AD39" s="14" t="s">
        <v>123</v>
      </c>
      <c r="AE39" s="11"/>
      <c r="AF39" s="3" t="s">
        <v>13</v>
      </c>
      <c r="AG39" s="3" t="s">
        <v>431</v>
      </c>
      <c r="AH39" s="3" t="s">
        <v>432</v>
      </c>
      <c r="AI39" s="23" t="s">
        <v>433</v>
      </c>
      <c r="AJ39" s="11">
        <f>IF(L39&gt;0,IFERROR(MATCH(O39,Кошики!$A$2:$A$10,0),99)*1000+ROW(),"")</f>
        <v>2039</v>
      </c>
    </row>
    <row r="40" spans="1:36" ht="79.2" x14ac:dyDescent="0.3">
      <c r="A40" s="24">
        <v>35</v>
      </c>
      <c r="B40" s="25" t="s">
        <v>434</v>
      </c>
      <c r="C40" s="26" t="s">
        <v>435</v>
      </c>
      <c r="D40" s="26" t="s">
        <v>436</v>
      </c>
      <c r="E40" s="26" t="s">
        <v>437</v>
      </c>
      <c r="F40" s="24">
        <v>1</v>
      </c>
      <c r="G40" s="24" t="s">
        <v>112</v>
      </c>
      <c r="H40" s="24">
        <f>F40*Інструкція!$C$5</f>
        <v>5</v>
      </c>
      <c r="I40" s="24">
        <f>IF(H40=0,0,MAX(ROUNDUP(H40*INDEX(Інструкція!$C$9:$C$13,MATCH(AF40,Інструкція!$B$9:$B$13,0)),0),INDEX(Інструкція!$D$9:$D$13,MATCH(AF40,Інструкція!$B$9:$B$13,0))))</f>
        <v>0</v>
      </c>
      <c r="J40" s="4">
        <v>0</v>
      </c>
      <c r="K40" s="4">
        <v>0</v>
      </c>
      <c r="L40" s="21">
        <f t="shared" si="0"/>
        <v>0</v>
      </c>
      <c r="M40" s="24" t="str">
        <f>IF(N40="магазин",L40+K40-H40,IF(N40="книга резисторів 0603",(Набори!$D$5+Набори!$E$5)*Набори!$F$5-H40,""))</f>
        <v/>
      </c>
      <c r="N40" s="4" t="s">
        <v>438</v>
      </c>
      <c r="O40" s="22" t="s">
        <v>438</v>
      </c>
      <c r="P40" s="26" t="s">
        <v>439</v>
      </c>
      <c r="Q40" s="24" t="s">
        <v>438</v>
      </c>
      <c r="R40" s="27" t="str">
        <f>IF(V40="","",IF(W40="без ПДВ",V40*(1+Інструкція!$C$6),V40))</f>
        <v/>
      </c>
      <c r="S40" s="28">
        <f t="shared" si="1"/>
        <v>0</v>
      </c>
      <c r="T40" s="26"/>
      <c r="U40" s="26" t="s">
        <v>440</v>
      </c>
      <c r="V40" s="27"/>
      <c r="W40" s="24" t="s">
        <v>119</v>
      </c>
      <c r="X40" s="24">
        <v>1</v>
      </c>
      <c r="Y40" s="24">
        <v>1</v>
      </c>
      <c r="Z40" s="24"/>
      <c r="AA40" s="24"/>
      <c r="AB40" s="26" t="s">
        <v>441</v>
      </c>
      <c r="AC40" s="30" t="s">
        <v>117</v>
      </c>
      <c r="AD40" s="30" t="s">
        <v>123</v>
      </c>
      <c r="AE40" s="24" t="s">
        <v>172</v>
      </c>
      <c r="AF40" s="26" t="s">
        <v>17</v>
      </c>
      <c r="AG40" s="26" t="s">
        <v>442</v>
      </c>
      <c r="AH40" s="26" t="s">
        <v>443</v>
      </c>
      <c r="AI40" s="29"/>
      <c r="AJ40" s="24" t="str">
        <f>IF(L40&gt;0,IFERROR(MATCH(O40,Кошики!$A$2:$A$10,0),99)*1000+ROW(),"")</f>
        <v/>
      </c>
    </row>
    <row r="41" spans="1:36" ht="39.6" x14ac:dyDescent="0.3">
      <c r="A41" s="11">
        <v>36</v>
      </c>
      <c r="B41" s="8" t="s">
        <v>444</v>
      </c>
      <c r="C41" s="3" t="s">
        <v>445</v>
      </c>
      <c r="D41" s="3" t="s">
        <v>446</v>
      </c>
      <c r="E41" s="3" t="s">
        <v>447</v>
      </c>
      <c r="F41" s="11">
        <v>1</v>
      </c>
      <c r="G41" s="11" t="s">
        <v>112</v>
      </c>
      <c r="H41" s="11">
        <f>F41*Інструкція!$C$5</f>
        <v>5</v>
      </c>
      <c r="I41" s="11">
        <f>IF(H41=0,0,MAX(ROUNDUP(H41*INDEX(Інструкція!$C$9:$C$13,MATCH(AF41,Інструкція!$B$9:$B$13,0)),0),INDEX(Інструкція!$D$9:$D$13,MATCH(AF41,Інструкція!$B$9:$B$13,0))))</f>
        <v>1</v>
      </c>
      <c r="J41" s="4">
        <v>0</v>
      </c>
      <c r="K41" s="4">
        <v>0</v>
      </c>
      <c r="L41" s="21">
        <f t="shared" si="0"/>
        <v>6</v>
      </c>
      <c r="M41" s="11">
        <f>IF(N41="магазин",L41+K41-H41,IF(N41="книга резисторів 0603",(Набори!$D$5+Набори!$E$5)*Набори!$F$5-H41,""))</f>
        <v>1</v>
      </c>
      <c r="N41" s="4" t="s">
        <v>113</v>
      </c>
      <c r="O41" s="22" t="s">
        <v>228</v>
      </c>
      <c r="P41" s="3" t="s">
        <v>448</v>
      </c>
      <c r="Q41" s="11" t="s">
        <v>116</v>
      </c>
      <c r="R41" s="12">
        <f>IF(V41="","",IF(W41="без ПДВ",V41*(1+Інструкція!$C$6),V41))</f>
        <v>84.42</v>
      </c>
      <c r="S41" s="13">
        <f t="shared" si="1"/>
        <v>506.52</v>
      </c>
      <c r="T41" s="14" t="s">
        <v>117</v>
      </c>
      <c r="U41" s="3" t="s">
        <v>449</v>
      </c>
      <c r="V41" s="12">
        <v>84.42</v>
      </c>
      <c r="W41" s="11" t="s">
        <v>281</v>
      </c>
      <c r="X41" s="11">
        <v>1</v>
      </c>
      <c r="Y41" s="11">
        <v>1</v>
      </c>
      <c r="Z41" s="11" t="s">
        <v>120</v>
      </c>
      <c r="AA41" s="11" t="s">
        <v>121</v>
      </c>
      <c r="AB41" s="3" t="s">
        <v>450</v>
      </c>
      <c r="AC41" s="14" t="s">
        <v>117</v>
      </c>
      <c r="AD41" s="14" t="s">
        <v>123</v>
      </c>
      <c r="AE41" s="11" t="s">
        <v>172</v>
      </c>
      <c r="AF41" s="3" t="s">
        <v>13</v>
      </c>
      <c r="AG41" s="3" t="s">
        <v>451</v>
      </c>
      <c r="AH41" s="3" t="s">
        <v>452</v>
      </c>
      <c r="AI41" s="23" t="s">
        <v>453</v>
      </c>
      <c r="AJ41" s="11">
        <f>IF(L41&gt;0,IFERROR(MATCH(O41,Кошики!$A$2:$A$10,0),99)*1000+ROW(),"")</f>
        <v>2041</v>
      </c>
    </row>
    <row r="42" spans="1:36" ht="52.8" x14ac:dyDescent="0.3">
      <c r="A42" s="11">
        <v>37</v>
      </c>
      <c r="B42" s="8" t="s">
        <v>454</v>
      </c>
      <c r="C42" s="3" t="s">
        <v>455</v>
      </c>
      <c r="D42" s="3" t="s">
        <v>446</v>
      </c>
      <c r="E42" s="3" t="s">
        <v>456</v>
      </c>
      <c r="F42" s="11">
        <v>1</v>
      </c>
      <c r="G42" s="11" t="s">
        <v>112</v>
      </c>
      <c r="H42" s="11">
        <f>F42*Інструкція!$C$5</f>
        <v>5</v>
      </c>
      <c r="I42" s="11">
        <f>IF(H42=0,0,MAX(ROUNDUP(H42*INDEX(Інструкція!$C$9:$C$13,MATCH(AF42,Інструкція!$B$9:$B$13,0)),0),INDEX(Інструкція!$D$9:$D$13,MATCH(AF42,Інструкція!$B$9:$B$13,0))))</f>
        <v>1</v>
      </c>
      <c r="J42" s="4">
        <v>10</v>
      </c>
      <c r="K42" s="4">
        <v>0</v>
      </c>
      <c r="L42" s="21">
        <f t="shared" si="0"/>
        <v>10</v>
      </c>
      <c r="M42" s="11">
        <f>IF(N42="магазин",L42+K42-H42,IF(N42="книга резисторів 0603",(Набори!$D$5+Набори!$E$5)*Набори!$F$5-H42,""))</f>
        <v>5</v>
      </c>
      <c r="N42" s="4" t="s">
        <v>113</v>
      </c>
      <c r="O42" s="22" t="s">
        <v>114</v>
      </c>
      <c r="P42" s="3" t="s">
        <v>457</v>
      </c>
      <c r="Q42" s="11" t="s">
        <v>116</v>
      </c>
      <c r="R42" s="12">
        <f>IF(V42="","",IF(W42="без ПДВ",V42*(1+Інструкція!$C$6),V42))</f>
        <v>10.84</v>
      </c>
      <c r="S42" s="13">
        <f t="shared" si="1"/>
        <v>108.4</v>
      </c>
      <c r="T42" s="14" t="s">
        <v>117</v>
      </c>
      <c r="U42" s="3" t="s">
        <v>458</v>
      </c>
      <c r="V42" s="12">
        <v>10.84</v>
      </c>
      <c r="W42" s="11" t="s">
        <v>119</v>
      </c>
      <c r="X42" s="11">
        <v>1</v>
      </c>
      <c r="Y42" s="11">
        <v>1</v>
      </c>
      <c r="Z42" s="11" t="s">
        <v>120</v>
      </c>
      <c r="AA42" s="11" t="s">
        <v>121</v>
      </c>
      <c r="AB42" s="3" t="s">
        <v>459</v>
      </c>
      <c r="AC42" s="14" t="s">
        <v>117</v>
      </c>
      <c r="AD42" s="14" t="s">
        <v>123</v>
      </c>
      <c r="AE42" s="11" t="s">
        <v>172</v>
      </c>
      <c r="AF42" s="3" t="s">
        <v>13</v>
      </c>
      <c r="AG42" s="3" t="s">
        <v>460</v>
      </c>
      <c r="AH42" s="3" t="s">
        <v>461</v>
      </c>
      <c r="AI42" s="23" t="s">
        <v>462</v>
      </c>
      <c r="AJ42" s="11">
        <f>IF(L42&gt;0,IFERROR(MATCH(O42,Кошики!$A$2:$A$10,0),99)*1000+ROW(),"")</f>
        <v>1042</v>
      </c>
    </row>
    <row r="43" spans="1:36" ht="118.8" x14ac:dyDescent="0.3">
      <c r="A43" s="11">
        <v>38</v>
      </c>
      <c r="B43" s="8" t="s">
        <v>463</v>
      </c>
      <c r="C43" s="3" t="s">
        <v>464</v>
      </c>
      <c r="D43" s="3" t="s">
        <v>465</v>
      </c>
      <c r="E43" s="3" t="s">
        <v>466</v>
      </c>
      <c r="F43" s="11">
        <v>1</v>
      </c>
      <c r="G43" s="11" t="s">
        <v>112</v>
      </c>
      <c r="H43" s="11">
        <f>F43*Інструкція!$C$5</f>
        <v>5</v>
      </c>
      <c r="I43" s="11">
        <f>IF(H43=0,0,MAX(ROUNDUP(H43*INDEX(Інструкція!$C$9:$C$13,MATCH(AF43,Інструкція!$B$9:$B$13,0)),0),INDEX(Інструкція!$D$9:$D$13,MATCH(AF43,Інструкція!$B$9:$B$13,0))))</f>
        <v>1</v>
      </c>
      <c r="J43" s="4">
        <v>0</v>
      </c>
      <c r="K43" s="4">
        <v>0</v>
      </c>
      <c r="L43" s="21">
        <f t="shared" si="0"/>
        <v>6</v>
      </c>
      <c r="M43" s="11">
        <f>IF(N43="магазин",L43+K43-H43,IF(N43="книга резисторів 0603",(Набори!$D$5+Набори!$E$5)*Набори!$F$5-H43,""))</f>
        <v>1</v>
      </c>
      <c r="N43" s="4" t="s">
        <v>113</v>
      </c>
      <c r="O43" s="22" t="s">
        <v>228</v>
      </c>
      <c r="P43" s="3" t="s">
        <v>467</v>
      </c>
      <c r="Q43" s="11" t="s">
        <v>116</v>
      </c>
      <c r="R43" s="12">
        <f>IF(V43="","",IF(W43="без ПДВ",V43*(1+Інструкція!$C$6),V43))</f>
        <v>282.01</v>
      </c>
      <c r="S43" s="13">
        <f t="shared" si="1"/>
        <v>1692.06</v>
      </c>
      <c r="T43" s="14" t="s">
        <v>117</v>
      </c>
      <c r="U43" s="3" t="s">
        <v>468</v>
      </c>
      <c r="V43" s="12">
        <v>282.01</v>
      </c>
      <c r="W43" s="11" t="s">
        <v>281</v>
      </c>
      <c r="X43" s="11">
        <v>1</v>
      </c>
      <c r="Y43" s="11">
        <v>1</v>
      </c>
      <c r="Z43" s="11" t="s">
        <v>120</v>
      </c>
      <c r="AA43" s="11" t="s">
        <v>121</v>
      </c>
      <c r="AB43" s="3" t="s">
        <v>469</v>
      </c>
      <c r="AC43" s="14" t="s">
        <v>117</v>
      </c>
      <c r="AD43" s="14" t="s">
        <v>123</v>
      </c>
      <c r="AE43" s="11"/>
      <c r="AF43" s="3" t="s">
        <v>13</v>
      </c>
      <c r="AG43" s="3" t="s">
        <v>470</v>
      </c>
      <c r="AH43" s="3" t="s">
        <v>471</v>
      </c>
      <c r="AI43" s="23" t="s">
        <v>472</v>
      </c>
      <c r="AJ43" s="11">
        <f>IF(L43&gt;0,IFERROR(MATCH(O43,Кошики!$A$2:$A$10,0),99)*1000+ROW(),"")</f>
        <v>2043</v>
      </c>
    </row>
    <row r="44" spans="1:36" ht="66" x14ac:dyDescent="0.3">
      <c r="A44" s="24">
        <v>39</v>
      </c>
      <c r="B44" s="25" t="s">
        <v>473</v>
      </c>
      <c r="C44" s="26" t="s">
        <v>474</v>
      </c>
      <c r="D44" s="26" t="s">
        <v>475</v>
      </c>
      <c r="E44" s="26" t="s">
        <v>476</v>
      </c>
      <c r="F44" s="24">
        <v>1</v>
      </c>
      <c r="G44" s="24" t="s">
        <v>112</v>
      </c>
      <c r="H44" s="24">
        <f>F44*Інструкція!$C$5</f>
        <v>5</v>
      </c>
      <c r="I44" s="24">
        <f>IF(H44=0,0,MAX(ROUNDUP(H44*INDEX(Інструкція!$C$9:$C$13,MATCH(AF44,Інструкція!$B$9:$B$13,0)),0),INDEX(Інструкція!$D$9:$D$13,MATCH(AF44,Інструкція!$B$9:$B$13,0))))</f>
        <v>0</v>
      </c>
      <c r="J44" s="4">
        <v>0</v>
      </c>
      <c r="K44" s="4">
        <v>0</v>
      </c>
      <c r="L44" s="21">
        <f t="shared" si="0"/>
        <v>0</v>
      </c>
      <c r="M44" s="24" t="str">
        <f>IF(N44="магазин",L44+K44-H44,IF(N44="книга резисторів 0603",(Набори!$D$5+Набори!$E$5)*Набори!$F$5-H44,""))</f>
        <v/>
      </c>
      <c r="N44" s="4" t="s">
        <v>438</v>
      </c>
      <c r="O44" s="22" t="s">
        <v>438</v>
      </c>
      <c r="P44" s="26" t="s">
        <v>439</v>
      </c>
      <c r="Q44" s="24" t="s">
        <v>438</v>
      </c>
      <c r="R44" s="27" t="str">
        <f>IF(V44="","",IF(W44="без ПДВ",V44*(1+Інструкція!$C$6),V44))</f>
        <v/>
      </c>
      <c r="S44" s="28">
        <f t="shared" si="1"/>
        <v>0</v>
      </c>
      <c r="T44" s="26"/>
      <c r="U44" s="26" t="s">
        <v>440</v>
      </c>
      <c r="V44" s="27"/>
      <c r="W44" s="24" t="s">
        <v>119</v>
      </c>
      <c r="X44" s="24">
        <v>1</v>
      </c>
      <c r="Y44" s="24">
        <v>1</v>
      </c>
      <c r="Z44" s="24"/>
      <c r="AA44" s="24"/>
      <c r="AB44" s="26" t="s">
        <v>477</v>
      </c>
      <c r="AC44" s="30" t="s">
        <v>117</v>
      </c>
      <c r="AD44" s="30" t="s">
        <v>123</v>
      </c>
      <c r="AE44" s="24" t="s">
        <v>172</v>
      </c>
      <c r="AF44" s="26" t="s">
        <v>17</v>
      </c>
      <c r="AG44" s="26" t="s">
        <v>478</v>
      </c>
      <c r="AH44" s="26" t="s">
        <v>479</v>
      </c>
      <c r="AI44" s="29"/>
      <c r="AJ44" s="24" t="str">
        <f>IF(L44&gt;0,IFERROR(MATCH(O44,Кошики!$A$2:$A$10,0),99)*1000+ROW(),"")</f>
        <v/>
      </c>
    </row>
    <row r="45" spans="1:36" ht="26.4" x14ac:dyDescent="0.3">
      <c r="B45" s="8" t="s">
        <v>480</v>
      </c>
      <c r="C45" s="3" t="s">
        <v>481</v>
      </c>
      <c r="F45" s="31">
        <f>SUMIFS(F6:F44,G6:G44,"шт",N6:N44,"&lt;&gt;не купується")</f>
        <v>59</v>
      </c>
      <c r="R45" s="8" t="s">
        <v>482</v>
      </c>
      <c r="S45" s="13">
        <f>SUM(S6:S44)</f>
        <v>8328.7639999999974</v>
      </c>
    </row>
    <row r="46" spans="1:36" ht="26.4" x14ac:dyDescent="0.3">
      <c r="R46" s="8" t="s">
        <v>483</v>
      </c>
      <c r="S46" s="31">
        <f>COUNTIFS(L6:L44,"&gt;0",V6:V44,"")</f>
        <v>0</v>
      </c>
    </row>
  </sheetData>
  <autoFilter ref="A5:AJ44" xr:uid="{00000000-0009-0000-0000-000002000000}"/>
  <mergeCells count="7">
    <mergeCell ref="V4:AJ4"/>
    <mergeCell ref="A3:U3"/>
    <mergeCell ref="F4:M4"/>
    <mergeCell ref="A4:E4"/>
    <mergeCell ref="N4:U4"/>
    <mergeCell ref="A2:U2"/>
    <mergeCell ref="A1:U1"/>
  </mergeCells>
  <conditionalFormatting sqref="Q6:Q44">
    <cfRule type="expression" dxfId="27" priority="1">
      <formula>$Q6="в наявності"</formula>
    </cfRule>
    <cfRule type="expression" dxfId="26" priority="2">
      <formula>$Q6="з набору"</formula>
    </cfRule>
    <cfRule type="expression" dxfId="25" priority="3">
      <formula>$Q6="під замовлення"</formula>
    </cfRule>
    <cfRule type="expression" dxfId="24" priority="4">
      <formula>LEFT($Q6,5)="немає"</formula>
    </cfRule>
    <cfRule type="expression" dxfId="23" priority="5">
      <formula>LEFT($Q6,7)="набору "</formula>
    </cfRule>
    <cfRule type="expression" dxfId="22" priority="6">
      <formula>$Q6="є у власника"</formula>
    </cfRule>
    <cfRule type="expression" dxfId="21" priority="7">
      <formula>$Q6="не купується"</formula>
    </cfRule>
  </conditionalFormatting>
  <dataValidations count="3">
    <dataValidation type="list" errorStyle="warning" allowBlank="1" sqref="Q6:Q44" xr:uid="{00000000-0002-0000-0200-000001000000}">
      <formula1>"в наявності,під замовлення,немає,немає в Україні,є у власника,не купується"</formula1>
    </dataValidation>
    <dataValidation type="list" errorStyle="warning" allowBlank="1" sqref="W6:W44" xr:uid="{00000000-0002-0000-0200-000002000000}">
      <formula1>"без ПДВ,з ПДВ,як на сторінці"</formula1>
    </dataValidation>
    <dataValidation type="list" errorStyle="warning" allowBlank="1" sqref="N6:N44" xr:uid="{00000000-0002-0000-0200-000003000000}">
      <formula1>"магазин,книга резисторів 0603,є у власника,не купується"</formula1>
    </dataValidation>
  </dataValidations>
  <hyperlinks>
    <hyperlink ref="T6" r:id="rId1" xr:uid="{00000000-0004-0000-0200-000000000000}"/>
    <hyperlink ref="AC6" r:id="rId2" xr:uid="{00000000-0004-0000-0200-000001000000}"/>
    <hyperlink ref="AD6" r:id="rId3" xr:uid="{00000000-0004-0000-0200-000002000000}"/>
    <hyperlink ref="T7" r:id="rId4" xr:uid="{00000000-0004-0000-0200-000003000000}"/>
    <hyperlink ref="AC7" r:id="rId5" xr:uid="{00000000-0004-0000-0200-000004000000}"/>
    <hyperlink ref="AD7" r:id="rId6" xr:uid="{00000000-0004-0000-0200-000005000000}"/>
    <hyperlink ref="T8" r:id="rId7" xr:uid="{00000000-0004-0000-0200-000006000000}"/>
    <hyperlink ref="AC8" r:id="rId8" xr:uid="{00000000-0004-0000-0200-000007000000}"/>
    <hyperlink ref="AD8" r:id="rId9" xr:uid="{00000000-0004-0000-0200-000008000000}"/>
    <hyperlink ref="T9" r:id="rId10" xr:uid="{00000000-0004-0000-0200-000009000000}"/>
    <hyperlink ref="AC9" r:id="rId11" xr:uid="{00000000-0004-0000-0200-00000A000000}"/>
    <hyperlink ref="AD9" r:id="rId12" xr:uid="{00000000-0004-0000-0200-00000B000000}"/>
    <hyperlink ref="T10" r:id="rId13" xr:uid="{00000000-0004-0000-0200-00000C000000}"/>
    <hyperlink ref="AC10" r:id="rId14" xr:uid="{00000000-0004-0000-0200-00000D000000}"/>
    <hyperlink ref="AD10" r:id="rId15" xr:uid="{00000000-0004-0000-0200-00000E000000}"/>
    <hyperlink ref="T11" r:id="rId16" xr:uid="{00000000-0004-0000-0200-00000F000000}"/>
    <hyperlink ref="AC11" r:id="rId17" xr:uid="{00000000-0004-0000-0200-000010000000}"/>
    <hyperlink ref="AD11" r:id="rId18" xr:uid="{00000000-0004-0000-0200-000011000000}"/>
    <hyperlink ref="T12" r:id="rId19" xr:uid="{00000000-0004-0000-0200-000012000000}"/>
    <hyperlink ref="AC12" r:id="rId20" xr:uid="{00000000-0004-0000-0200-000013000000}"/>
    <hyperlink ref="AD12" r:id="rId21" xr:uid="{00000000-0004-0000-0200-000014000000}"/>
    <hyperlink ref="T13" r:id="rId22" xr:uid="{00000000-0004-0000-0200-000015000000}"/>
    <hyperlink ref="AC13" r:id="rId23" xr:uid="{00000000-0004-0000-0200-000016000000}"/>
    <hyperlink ref="AD13" r:id="rId24" xr:uid="{00000000-0004-0000-0200-000017000000}"/>
    <hyperlink ref="T14" r:id="rId25" xr:uid="{00000000-0004-0000-0200-000018000000}"/>
    <hyperlink ref="AC14" r:id="rId26" xr:uid="{00000000-0004-0000-0200-000019000000}"/>
    <hyperlink ref="AD14" r:id="rId27" xr:uid="{00000000-0004-0000-0200-00001A000000}"/>
    <hyperlink ref="T15" r:id="rId28" xr:uid="{00000000-0004-0000-0200-00001B000000}"/>
    <hyperlink ref="AC15" r:id="rId29" xr:uid="{00000000-0004-0000-0200-00001C000000}"/>
    <hyperlink ref="AD15" r:id="rId30" xr:uid="{00000000-0004-0000-0200-00001D000000}"/>
    <hyperlink ref="T16" r:id="rId31" xr:uid="{00000000-0004-0000-0200-00001E000000}"/>
    <hyperlink ref="AC16" r:id="rId32" xr:uid="{00000000-0004-0000-0200-00001F000000}"/>
    <hyperlink ref="AD16" r:id="rId33" xr:uid="{00000000-0004-0000-0200-000020000000}"/>
    <hyperlink ref="T17" r:id="rId34" xr:uid="{00000000-0004-0000-0200-000021000000}"/>
    <hyperlink ref="AC17" r:id="rId35" xr:uid="{00000000-0004-0000-0200-000022000000}"/>
    <hyperlink ref="AD17" r:id="rId36" xr:uid="{00000000-0004-0000-0200-000023000000}"/>
    <hyperlink ref="T19" r:id="rId37" xr:uid="{00000000-0004-0000-0200-000024000000}"/>
    <hyperlink ref="AC19" r:id="rId38" xr:uid="{00000000-0004-0000-0200-000025000000}"/>
    <hyperlink ref="AD19" r:id="rId39" xr:uid="{00000000-0004-0000-0200-000026000000}"/>
    <hyperlink ref="T20" r:id="rId40" xr:uid="{00000000-0004-0000-0200-000027000000}"/>
    <hyperlink ref="AC20" r:id="rId41" xr:uid="{00000000-0004-0000-0200-000028000000}"/>
    <hyperlink ref="AD20" r:id="rId42" xr:uid="{00000000-0004-0000-0200-000029000000}"/>
    <hyperlink ref="T21" r:id="rId43" xr:uid="{00000000-0004-0000-0200-00002A000000}"/>
    <hyperlink ref="AC21" r:id="rId44" xr:uid="{00000000-0004-0000-0200-00002B000000}"/>
    <hyperlink ref="AD21" r:id="rId45" xr:uid="{00000000-0004-0000-0200-00002C000000}"/>
    <hyperlink ref="T22" r:id="rId46" xr:uid="{00000000-0004-0000-0200-00002D000000}"/>
    <hyperlink ref="AC22" r:id="rId47" xr:uid="{00000000-0004-0000-0200-00002E000000}"/>
    <hyperlink ref="AD22" r:id="rId48" xr:uid="{00000000-0004-0000-0200-00002F000000}"/>
    <hyperlink ref="T23" r:id="rId49" xr:uid="{00000000-0004-0000-0200-000030000000}"/>
    <hyperlink ref="AC23" r:id="rId50" xr:uid="{00000000-0004-0000-0200-000031000000}"/>
    <hyperlink ref="AD23" r:id="rId51" xr:uid="{00000000-0004-0000-0200-000032000000}"/>
    <hyperlink ref="T24" r:id="rId52" xr:uid="{00000000-0004-0000-0200-000033000000}"/>
    <hyperlink ref="AC24" r:id="rId53" xr:uid="{00000000-0004-0000-0200-000034000000}"/>
    <hyperlink ref="AD24" r:id="rId54" xr:uid="{00000000-0004-0000-0200-000035000000}"/>
    <hyperlink ref="T25" r:id="rId55" xr:uid="{00000000-0004-0000-0200-000036000000}"/>
    <hyperlink ref="AC25" r:id="rId56" xr:uid="{00000000-0004-0000-0200-000037000000}"/>
    <hyperlink ref="AD25" r:id="rId57" xr:uid="{00000000-0004-0000-0200-000038000000}"/>
    <hyperlink ref="T26" r:id="rId58" xr:uid="{00000000-0004-0000-0200-000039000000}"/>
    <hyperlink ref="AC26" r:id="rId59" xr:uid="{00000000-0004-0000-0200-00003A000000}"/>
    <hyperlink ref="AD26" r:id="rId60" xr:uid="{00000000-0004-0000-0200-00003B000000}"/>
    <hyperlink ref="T27" r:id="rId61" xr:uid="{00000000-0004-0000-0200-00003C000000}"/>
    <hyperlink ref="AC27" r:id="rId62" xr:uid="{00000000-0004-0000-0200-00003D000000}"/>
    <hyperlink ref="AD27" r:id="rId63" xr:uid="{00000000-0004-0000-0200-00003E000000}"/>
    <hyperlink ref="T28" r:id="rId64" xr:uid="{00000000-0004-0000-0200-00003F000000}"/>
    <hyperlink ref="AC28" r:id="rId65" xr:uid="{00000000-0004-0000-0200-000040000000}"/>
    <hyperlink ref="AD28" r:id="rId66" xr:uid="{00000000-0004-0000-0200-000041000000}"/>
    <hyperlink ref="T29" r:id="rId67" xr:uid="{00000000-0004-0000-0200-000042000000}"/>
    <hyperlink ref="AC29" r:id="rId68" xr:uid="{00000000-0004-0000-0200-000043000000}"/>
    <hyperlink ref="AD29" r:id="rId69" xr:uid="{00000000-0004-0000-0200-000044000000}"/>
    <hyperlink ref="T30" r:id="rId70" xr:uid="{00000000-0004-0000-0200-000045000000}"/>
    <hyperlink ref="AC30" r:id="rId71" xr:uid="{00000000-0004-0000-0200-000046000000}"/>
    <hyperlink ref="AD30" r:id="rId72" xr:uid="{00000000-0004-0000-0200-000047000000}"/>
    <hyperlink ref="T31" r:id="rId73" xr:uid="{00000000-0004-0000-0200-000048000000}"/>
    <hyperlink ref="AC31" r:id="rId74" xr:uid="{00000000-0004-0000-0200-000049000000}"/>
    <hyperlink ref="AD31" r:id="rId75" xr:uid="{00000000-0004-0000-0200-00004A000000}"/>
    <hyperlink ref="T32" r:id="rId76" xr:uid="{00000000-0004-0000-0200-00004B000000}"/>
    <hyperlink ref="AC32" r:id="rId77" xr:uid="{00000000-0004-0000-0200-00004C000000}"/>
    <hyperlink ref="AD32" r:id="rId78" xr:uid="{00000000-0004-0000-0200-00004D000000}"/>
    <hyperlink ref="T33" r:id="rId79" xr:uid="{00000000-0004-0000-0200-00004E000000}"/>
    <hyperlink ref="AC33" r:id="rId80" xr:uid="{00000000-0004-0000-0200-00004F000000}"/>
    <hyperlink ref="AD33" r:id="rId81" xr:uid="{00000000-0004-0000-0200-000050000000}"/>
    <hyperlink ref="T34" r:id="rId82" xr:uid="{00000000-0004-0000-0200-000051000000}"/>
    <hyperlink ref="AC34" r:id="rId83" xr:uid="{00000000-0004-0000-0200-000052000000}"/>
    <hyperlink ref="AD34" r:id="rId84" xr:uid="{00000000-0004-0000-0200-000053000000}"/>
    <hyperlink ref="T35" r:id="rId85" xr:uid="{00000000-0004-0000-0200-000054000000}"/>
    <hyperlink ref="AC35" r:id="rId86" xr:uid="{00000000-0004-0000-0200-000055000000}"/>
    <hyperlink ref="AD35" r:id="rId87" xr:uid="{00000000-0004-0000-0200-000056000000}"/>
    <hyperlink ref="T36" r:id="rId88" xr:uid="{00000000-0004-0000-0200-000057000000}"/>
    <hyperlink ref="AC36" r:id="rId89" xr:uid="{00000000-0004-0000-0200-000058000000}"/>
    <hyperlink ref="AD36" r:id="rId90" xr:uid="{00000000-0004-0000-0200-000059000000}"/>
    <hyperlink ref="T37" r:id="rId91" xr:uid="{00000000-0004-0000-0200-00005A000000}"/>
    <hyperlink ref="AC37" r:id="rId92" xr:uid="{00000000-0004-0000-0200-00005B000000}"/>
    <hyperlink ref="AD37" r:id="rId93" xr:uid="{00000000-0004-0000-0200-00005C000000}"/>
    <hyperlink ref="T39" r:id="rId94" xr:uid="{00000000-0004-0000-0200-00005D000000}"/>
    <hyperlink ref="AC39" r:id="rId95" xr:uid="{00000000-0004-0000-0200-00005E000000}"/>
    <hyperlink ref="AD39" r:id="rId96" xr:uid="{00000000-0004-0000-0200-00005F000000}"/>
    <hyperlink ref="AC40" r:id="rId97" xr:uid="{00000000-0004-0000-0200-000060000000}"/>
    <hyperlink ref="AD40" r:id="rId98" xr:uid="{00000000-0004-0000-0200-000061000000}"/>
    <hyperlink ref="T41" r:id="rId99" xr:uid="{00000000-0004-0000-0200-000062000000}"/>
    <hyperlink ref="AC41" r:id="rId100" xr:uid="{00000000-0004-0000-0200-000063000000}"/>
    <hyperlink ref="AD41" r:id="rId101" xr:uid="{00000000-0004-0000-0200-000064000000}"/>
    <hyperlink ref="T42" r:id="rId102" xr:uid="{00000000-0004-0000-0200-000065000000}"/>
    <hyperlink ref="AC42" r:id="rId103" xr:uid="{00000000-0004-0000-0200-000066000000}"/>
    <hyperlink ref="AD42" r:id="rId104" xr:uid="{00000000-0004-0000-0200-000067000000}"/>
    <hyperlink ref="T43" r:id="rId105" xr:uid="{00000000-0004-0000-0200-000068000000}"/>
    <hyperlink ref="AC43" r:id="rId106" xr:uid="{00000000-0004-0000-0200-000069000000}"/>
    <hyperlink ref="AD43" r:id="rId107" xr:uid="{00000000-0004-0000-0200-00006A000000}"/>
    <hyperlink ref="AC44" r:id="rId108" xr:uid="{00000000-0004-0000-0200-00006B000000}"/>
    <hyperlink ref="AD44" r:id="rId109" xr:uid="{00000000-0004-0000-0200-00006C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errorTitle="Магазин" error="Магазину немає у списку на аркуші «Кошики»: додайте його туди, щоб він потрапив у підсумки." xr:uid="{00000000-0002-0000-0200-000000000000}">
          <x14:formula1>
            <xm:f>Кошики!$A$2:$A$10</xm:f>
          </x14:formula1>
          <xm:sqref>O6:O44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40" customWidth="1"/>
    <col min="3" max="3" width="60" customWidth="1"/>
    <col min="4" max="5" width="8" customWidth="1"/>
    <col min="6" max="6" width="9" customWidth="1"/>
    <col min="7" max="7" width="14" customWidth="1"/>
    <col min="8" max="8" width="12" customWidth="1"/>
    <col min="9" max="9" width="10" customWidth="1"/>
    <col min="10" max="10" width="11" customWidth="1"/>
    <col min="11" max="11" width="10" customWidth="1"/>
    <col min="12" max="13" width="11" customWidth="1"/>
    <col min="14" max="14" width="40" customWidth="1"/>
    <col min="15" max="15" width="20" hidden="1" customWidth="1"/>
  </cols>
  <sheetData>
    <row r="1" spans="1:15" ht="19.95" customHeight="1" x14ac:dyDescent="0.3">
      <c r="A1" s="39" t="s">
        <v>484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5" ht="31.95" customHeight="1" x14ac:dyDescent="0.3">
      <c r="A2" s="40" t="s">
        <v>485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5" ht="31.95" customHeight="1" x14ac:dyDescent="0.3">
      <c r="A3" s="40" t="s">
        <v>486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5" ht="42" customHeight="1" x14ac:dyDescent="0.3">
      <c r="A4" s="6" t="s">
        <v>78</v>
      </c>
      <c r="B4" s="6" t="s">
        <v>487</v>
      </c>
      <c r="C4" s="6" t="s">
        <v>488</v>
      </c>
      <c r="D4" s="18" t="s">
        <v>87</v>
      </c>
      <c r="E4" s="18" t="s">
        <v>489</v>
      </c>
      <c r="F4" s="6" t="s">
        <v>490</v>
      </c>
      <c r="G4" s="6" t="s">
        <v>52</v>
      </c>
      <c r="H4" s="6" t="s">
        <v>59</v>
      </c>
      <c r="I4" s="6" t="s">
        <v>491</v>
      </c>
      <c r="J4" s="6" t="s">
        <v>95</v>
      </c>
      <c r="K4" s="6" t="s">
        <v>492</v>
      </c>
      <c r="L4" s="6" t="s">
        <v>58</v>
      </c>
      <c r="M4" s="6" t="s">
        <v>60</v>
      </c>
      <c r="N4" s="6" t="s">
        <v>61</v>
      </c>
      <c r="O4" s="6" t="s">
        <v>106</v>
      </c>
    </row>
    <row r="5" spans="1:15" ht="79.2" x14ac:dyDescent="0.3">
      <c r="A5" s="11" t="s">
        <v>493</v>
      </c>
      <c r="B5" s="8" t="s">
        <v>494</v>
      </c>
      <c r="C5" s="3" t="s">
        <v>495</v>
      </c>
      <c r="D5" s="32">
        <v>1</v>
      </c>
      <c r="E5" s="32">
        <v>0</v>
      </c>
      <c r="F5" s="11">
        <v>50</v>
      </c>
      <c r="G5" s="3" t="s">
        <v>496</v>
      </c>
      <c r="H5" s="11" t="s">
        <v>116</v>
      </c>
      <c r="I5" s="15">
        <v>825</v>
      </c>
      <c r="J5" s="11" t="s">
        <v>119</v>
      </c>
      <c r="K5" s="15">
        <f>IF(I5="","",IF(J5="без ПДВ",I5*(1+Інструкція!$C$6),I5))</f>
        <v>825</v>
      </c>
      <c r="L5" s="13">
        <f>IF(K5="","",E5*K5)</f>
        <v>0</v>
      </c>
      <c r="M5" s="14" t="s">
        <v>117</v>
      </c>
      <c r="N5" s="3" t="s">
        <v>497</v>
      </c>
      <c r="O5" s="23" t="s">
        <v>498</v>
      </c>
    </row>
    <row r="6" spans="1:15" x14ac:dyDescent="0.3">
      <c r="K6" s="8" t="s">
        <v>482</v>
      </c>
      <c r="L6" s="13">
        <f>SUM(L5:L5)</f>
        <v>0</v>
      </c>
    </row>
  </sheetData>
  <mergeCells count="3">
    <mergeCell ref="A3:N3"/>
    <mergeCell ref="A2:N2"/>
    <mergeCell ref="A1:N1"/>
  </mergeCells>
  <conditionalFormatting sqref="H5">
    <cfRule type="expression" dxfId="20" priority="1">
      <formula>$H5="в наявності"</formula>
    </cfRule>
    <cfRule type="expression" dxfId="19" priority="2">
      <formula>$H5="з набору"</formula>
    </cfRule>
    <cfRule type="expression" dxfId="18" priority="3">
      <formula>$H5="під замовлення"</formula>
    </cfRule>
    <cfRule type="expression" dxfId="17" priority="4">
      <formula>LEFT($H5,5)="немає"</formula>
    </cfRule>
    <cfRule type="expression" dxfId="16" priority="5">
      <formula>LEFT($H5,7)="набору "</formula>
    </cfRule>
    <cfRule type="expression" dxfId="15" priority="6">
      <formula>$H5="є у власника"</formula>
    </cfRule>
    <cfRule type="expression" dxfId="14" priority="7">
      <formula>$H5="не купується"</formula>
    </cfRule>
  </conditionalFormatting>
  <hyperlinks>
    <hyperlink ref="M5" r:id="rId1" xr:uid="{00000000-0004-0000-0300-000000000000}"/>
  </hyperlink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1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6" customWidth="1"/>
    <col min="3" max="3" width="30" customWidth="1"/>
    <col min="4" max="4" width="40" customWidth="1"/>
    <col min="5" max="5" width="7" customWidth="1"/>
    <col min="6" max="6" width="6" customWidth="1"/>
    <col min="7" max="7" width="9" customWidth="1"/>
    <col min="8" max="8" width="7" customWidth="1"/>
    <col min="9" max="9" width="10" customWidth="1"/>
    <col min="10" max="10" width="7" customWidth="1"/>
    <col min="11" max="11" width="10" customWidth="1"/>
    <col min="12" max="12" width="18" customWidth="1"/>
    <col min="13" max="13" width="32" customWidth="1"/>
    <col min="14" max="14" width="12" customWidth="1"/>
    <col min="15" max="15" width="9" customWidth="1"/>
    <col min="16" max="16" width="10" customWidth="1"/>
    <col min="17" max="17" width="9" customWidth="1"/>
    <col min="18" max="19" width="10" customWidth="1"/>
    <col min="20" max="20" width="8" customWidth="1"/>
    <col min="21" max="21" width="7" customWidth="1"/>
    <col min="22" max="23" width="40" customWidth="1"/>
    <col min="24" max="24" width="10" customWidth="1"/>
    <col min="25" max="25" width="10" hidden="1" customWidth="1"/>
    <col min="26" max="26" width="20" hidden="1" customWidth="1"/>
    <col min="27" max="27" width="9" hidden="1" customWidth="1"/>
  </cols>
  <sheetData>
    <row r="1" spans="1:27" ht="19.95" customHeight="1" x14ac:dyDescent="0.3">
      <c r="A1" s="39" t="s">
        <v>499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7" ht="31.95" customHeight="1" x14ac:dyDescent="0.3">
      <c r="A2" s="40" t="s">
        <v>500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7" ht="31.95" customHeight="1" x14ac:dyDescent="0.3">
      <c r="A3" s="40" t="s">
        <v>501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7" ht="45" customHeight="1" x14ac:dyDescent="0.3">
      <c r="A4" s="6" t="s">
        <v>78</v>
      </c>
      <c r="B4" s="6" t="s">
        <v>502</v>
      </c>
      <c r="C4" s="6" t="s">
        <v>503</v>
      </c>
      <c r="D4" s="6" t="s">
        <v>504</v>
      </c>
      <c r="E4" s="6" t="s">
        <v>83</v>
      </c>
      <c r="F4" s="6" t="s">
        <v>56</v>
      </c>
      <c r="G4" s="6" t="s">
        <v>84</v>
      </c>
      <c r="H4" s="18" t="s">
        <v>505</v>
      </c>
      <c r="I4" s="18" t="s">
        <v>86</v>
      </c>
      <c r="J4" s="18" t="s">
        <v>87</v>
      </c>
      <c r="K4" s="6" t="s">
        <v>88</v>
      </c>
      <c r="L4" s="18" t="s">
        <v>91</v>
      </c>
      <c r="M4" s="6" t="s">
        <v>92</v>
      </c>
      <c r="N4" s="6" t="s">
        <v>59</v>
      </c>
      <c r="O4" s="6" t="s">
        <v>94</v>
      </c>
      <c r="P4" s="6" t="s">
        <v>95</v>
      </c>
      <c r="Q4" s="6" t="s">
        <v>57</v>
      </c>
      <c r="R4" s="6" t="s">
        <v>58</v>
      </c>
      <c r="S4" s="6" t="s">
        <v>60</v>
      </c>
      <c r="T4" s="6" t="s">
        <v>96</v>
      </c>
      <c r="U4" s="6" t="s">
        <v>97</v>
      </c>
      <c r="V4" s="6" t="s">
        <v>93</v>
      </c>
      <c r="W4" s="6" t="s">
        <v>100</v>
      </c>
      <c r="X4" s="6" t="s">
        <v>101</v>
      </c>
      <c r="Y4" s="6" t="s">
        <v>99</v>
      </c>
      <c r="Z4" s="6" t="s">
        <v>106</v>
      </c>
      <c r="AA4" s="6" t="s">
        <v>107</v>
      </c>
    </row>
    <row r="5" spans="1:27" ht="79.2" x14ac:dyDescent="0.3">
      <c r="A5" s="11" t="s">
        <v>506</v>
      </c>
      <c r="B5" s="8" t="s">
        <v>507</v>
      </c>
      <c r="C5" s="3" t="s">
        <v>508</v>
      </c>
      <c r="D5" s="3" t="s">
        <v>509</v>
      </c>
      <c r="E5" s="11">
        <v>1</v>
      </c>
      <c r="F5" s="11" t="s">
        <v>112</v>
      </c>
      <c r="G5" s="11">
        <f>E5*Інструкція!$C$5</f>
        <v>5</v>
      </c>
      <c r="H5" s="4">
        <v>0</v>
      </c>
      <c r="I5" s="4">
        <v>0</v>
      </c>
      <c r="J5" s="4">
        <v>0</v>
      </c>
      <c r="K5" s="21">
        <f t="shared" ref="K5:K13" si="0">IF(MAX(0,MAX(G5+H5,I5)-J5)=0,0,MAX(T5,CEILING(MAX(0,MAX(G5+H5,I5)-J5),U5)))</f>
        <v>5</v>
      </c>
      <c r="L5" s="22" t="s">
        <v>510</v>
      </c>
      <c r="M5" s="3" t="s">
        <v>511</v>
      </c>
      <c r="N5" s="11" t="s">
        <v>116</v>
      </c>
      <c r="O5" s="12">
        <v>50</v>
      </c>
      <c r="P5" s="11" t="s">
        <v>119</v>
      </c>
      <c r="Q5" s="12">
        <f>IF(O5="","",IF(P5="без ПДВ",O5*(1+Інструкція!$C$6),O5))</f>
        <v>50</v>
      </c>
      <c r="R5" s="13">
        <f t="shared" ref="R5:R13" si="1">IF(K5=0,0,IF(Q5="","",K5*Q5))</f>
        <v>250</v>
      </c>
      <c r="S5" s="14" t="s">
        <v>117</v>
      </c>
      <c r="T5" s="11">
        <v>1</v>
      </c>
      <c r="U5" s="11">
        <v>1</v>
      </c>
      <c r="V5" s="3" t="s">
        <v>512</v>
      </c>
      <c r="W5" s="3" t="s">
        <v>513</v>
      </c>
      <c r="X5" s="14" t="s">
        <v>117</v>
      </c>
      <c r="Y5" s="11" t="s">
        <v>121</v>
      </c>
      <c r="Z5" s="23" t="s">
        <v>514</v>
      </c>
      <c r="AA5" s="11">
        <f>IF(K5&gt;0,IFERROR(MATCH(L5,Кошики!$A$2:$A$10,0),99)*1000+ROW(),"")</f>
        <v>6005</v>
      </c>
    </row>
    <row r="6" spans="1:27" ht="26.4" x14ac:dyDescent="0.3">
      <c r="A6" s="11" t="s">
        <v>515</v>
      </c>
      <c r="B6" s="8" t="s">
        <v>516</v>
      </c>
      <c r="C6" s="3" t="s">
        <v>517</v>
      </c>
      <c r="D6" s="3" t="s">
        <v>518</v>
      </c>
      <c r="E6" s="11">
        <v>1</v>
      </c>
      <c r="F6" s="11" t="s">
        <v>112</v>
      </c>
      <c r="G6" s="11">
        <f>E6*Інструкція!$C$5</f>
        <v>5</v>
      </c>
      <c r="H6" s="4">
        <v>1</v>
      </c>
      <c r="I6" s="4">
        <v>0</v>
      </c>
      <c r="J6" s="4">
        <v>0</v>
      </c>
      <c r="K6" s="21">
        <f t="shared" si="0"/>
        <v>6</v>
      </c>
      <c r="L6" s="22" t="s">
        <v>114</v>
      </c>
      <c r="M6" s="3" t="s">
        <v>519</v>
      </c>
      <c r="N6" s="11" t="s">
        <v>116</v>
      </c>
      <c r="O6" s="12">
        <v>2.16</v>
      </c>
      <c r="P6" s="11" t="s">
        <v>119</v>
      </c>
      <c r="Q6" s="12">
        <f>IF(O6="","",IF(P6="без ПДВ",O6*(1+Інструкція!$C$6),O6))</f>
        <v>2.16</v>
      </c>
      <c r="R6" s="13">
        <f t="shared" si="1"/>
        <v>12.96</v>
      </c>
      <c r="S6" s="14" t="s">
        <v>117</v>
      </c>
      <c r="T6" s="11">
        <v>1</v>
      </c>
      <c r="U6" s="11">
        <v>1</v>
      </c>
      <c r="V6" s="3" t="s">
        <v>520</v>
      </c>
      <c r="W6" s="3"/>
      <c r="X6" s="3"/>
      <c r="Y6" s="11" t="s">
        <v>121</v>
      </c>
      <c r="Z6" s="23" t="s">
        <v>521</v>
      </c>
      <c r="AA6" s="11">
        <f>IF(K6&gt;0,IFERROR(MATCH(L6,Кошики!$A$2:$A$10,0),99)*1000+ROW(),"")</f>
        <v>1006</v>
      </c>
    </row>
    <row r="7" spans="1:27" ht="26.4" x14ac:dyDescent="0.3">
      <c r="A7" s="11" t="s">
        <v>522</v>
      </c>
      <c r="B7" s="8" t="s">
        <v>523</v>
      </c>
      <c r="C7" s="3" t="s">
        <v>524</v>
      </c>
      <c r="D7" s="3" t="s">
        <v>525</v>
      </c>
      <c r="E7" s="11">
        <v>1</v>
      </c>
      <c r="F7" s="11" t="s">
        <v>112</v>
      </c>
      <c r="G7" s="11">
        <f>E7*Інструкція!$C$5</f>
        <v>5</v>
      </c>
      <c r="H7" s="4">
        <v>1</v>
      </c>
      <c r="I7" s="4">
        <v>0</v>
      </c>
      <c r="J7" s="4">
        <v>0</v>
      </c>
      <c r="K7" s="21">
        <f t="shared" si="0"/>
        <v>6</v>
      </c>
      <c r="L7" s="22" t="s">
        <v>114</v>
      </c>
      <c r="M7" s="3" t="s">
        <v>526</v>
      </c>
      <c r="N7" s="11" t="s">
        <v>116</v>
      </c>
      <c r="O7" s="12">
        <v>1.72</v>
      </c>
      <c r="P7" s="11" t="s">
        <v>119</v>
      </c>
      <c r="Q7" s="12">
        <f>IF(O7="","",IF(P7="без ПДВ",O7*(1+Інструкція!$C$6),O7))</f>
        <v>1.72</v>
      </c>
      <c r="R7" s="13">
        <f t="shared" si="1"/>
        <v>10.32</v>
      </c>
      <c r="S7" s="14" t="s">
        <v>117</v>
      </c>
      <c r="T7" s="11">
        <v>1</v>
      </c>
      <c r="U7" s="11">
        <v>1</v>
      </c>
      <c r="V7" s="3" t="s">
        <v>520</v>
      </c>
      <c r="W7" s="3"/>
      <c r="X7" s="3"/>
      <c r="Y7" s="11" t="s">
        <v>121</v>
      </c>
      <c r="Z7" s="23" t="s">
        <v>527</v>
      </c>
      <c r="AA7" s="11">
        <f>IF(K7&gt;0,IFERROR(MATCH(L7,Кошики!$A$2:$A$10,0),99)*1000+ROW(),"")</f>
        <v>1007</v>
      </c>
    </row>
    <row r="8" spans="1:27" ht="66" x14ac:dyDescent="0.3">
      <c r="A8" s="11" t="s">
        <v>528</v>
      </c>
      <c r="B8" s="8" t="s">
        <v>529</v>
      </c>
      <c r="C8" s="3" t="s">
        <v>530</v>
      </c>
      <c r="D8" s="3" t="s">
        <v>531</v>
      </c>
      <c r="E8" s="11">
        <v>5</v>
      </c>
      <c r="F8" s="11" t="s">
        <v>112</v>
      </c>
      <c r="G8" s="11">
        <f>E8*Інструкція!$C$5</f>
        <v>25</v>
      </c>
      <c r="H8" s="4">
        <v>5</v>
      </c>
      <c r="I8" s="4">
        <v>0</v>
      </c>
      <c r="J8" s="4">
        <v>0</v>
      </c>
      <c r="K8" s="21">
        <f t="shared" si="0"/>
        <v>30</v>
      </c>
      <c r="L8" s="22" t="s">
        <v>532</v>
      </c>
      <c r="M8" s="3" t="s">
        <v>533</v>
      </c>
      <c r="N8" s="11" t="s">
        <v>116</v>
      </c>
      <c r="O8" s="12">
        <v>2</v>
      </c>
      <c r="P8" s="11" t="s">
        <v>232</v>
      </c>
      <c r="Q8" s="12">
        <f>IF(O8="","",IF(P8="без ПДВ",O8*(1+Інструкція!$C$6),O8))</f>
        <v>2.4</v>
      </c>
      <c r="R8" s="13">
        <f t="shared" si="1"/>
        <v>72</v>
      </c>
      <c r="S8" s="14" t="s">
        <v>117</v>
      </c>
      <c r="T8" s="11">
        <v>1</v>
      </c>
      <c r="U8" s="11">
        <v>1</v>
      </c>
      <c r="V8" s="3" t="s">
        <v>534</v>
      </c>
      <c r="W8" s="3" t="s">
        <v>535</v>
      </c>
      <c r="X8" s="14" t="s">
        <v>117</v>
      </c>
      <c r="Y8" s="11" t="s">
        <v>121</v>
      </c>
      <c r="Z8" s="23" t="s">
        <v>536</v>
      </c>
      <c r="AA8" s="11">
        <f>IF(K8&gt;0,IFERROR(MATCH(L8,Кошики!$A$2:$A$10,0),99)*1000+ROW(),"")</f>
        <v>3008</v>
      </c>
    </row>
    <row r="9" spans="1:27" ht="92.4" x14ac:dyDescent="0.3">
      <c r="A9" s="11" t="s">
        <v>537</v>
      </c>
      <c r="B9" s="8" t="s">
        <v>538</v>
      </c>
      <c r="C9" s="3" t="s">
        <v>539</v>
      </c>
      <c r="D9" s="3" t="s">
        <v>540</v>
      </c>
      <c r="E9" s="11">
        <v>4</v>
      </c>
      <c r="F9" s="11" t="s">
        <v>112</v>
      </c>
      <c r="G9" s="11">
        <f>E9*Інструкція!$C$5</f>
        <v>20</v>
      </c>
      <c r="H9" s="4">
        <v>2</v>
      </c>
      <c r="I9" s="4">
        <v>0</v>
      </c>
      <c r="J9" s="4">
        <v>0</v>
      </c>
      <c r="K9" s="21">
        <f t="shared" si="0"/>
        <v>22</v>
      </c>
      <c r="L9" s="22" t="s">
        <v>532</v>
      </c>
      <c r="M9" s="3" t="s">
        <v>541</v>
      </c>
      <c r="N9" s="11" t="s">
        <v>116</v>
      </c>
      <c r="O9" s="12">
        <v>3.5</v>
      </c>
      <c r="P9" s="11" t="s">
        <v>232</v>
      </c>
      <c r="Q9" s="12">
        <f>IF(O9="","",IF(P9="без ПДВ",O9*(1+Інструкція!$C$6),O9))</f>
        <v>4.2</v>
      </c>
      <c r="R9" s="13">
        <f t="shared" si="1"/>
        <v>92.4</v>
      </c>
      <c r="S9" s="14" t="s">
        <v>117</v>
      </c>
      <c r="T9" s="11">
        <v>1</v>
      </c>
      <c r="U9" s="11">
        <v>1</v>
      </c>
      <c r="V9" s="3" t="s">
        <v>542</v>
      </c>
      <c r="W9" s="3" t="s">
        <v>543</v>
      </c>
      <c r="X9" s="14" t="s">
        <v>117</v>
      </c>
      <c r="Y9" s="11" t="s">
        <v>121</v>
      </c>
      <c r="Z9" s="23" t="s">
        <v>544</v>
      </c>
      <c r="AA9" s="11">
        <f>IF(K9&gt;0,IFERROR(MATCH(L9,Кошики!$A$2:$A$10,0),99)*1000+ROW(),"")</f>
        <v>3009</v>
      </c>
    </row>
    <row r="10" spans="1:27" ht="66" x14ac:dyDescent="0.3">
      <c r="A10" s="11" t="s">
        <v>545</v>
      </c>
      <c r="B10" s="8" t="s">
        <v>546</v>
      </c>
      <c r="C10" s="3" t="s">
        <v>547</v>
      </c>
      <c r="D10" s="3" t="s">
        <v>548</v>
      </c>
      <c r="E10" s="11">
        <v>8</v>
      </c>
      <c r="F10" s="11" t="s">
        <v>112</v>
      </c>
      <c r="G10" s="11">
        <f>E10*Інструкція!$C$5</f>
        <v>40</v>
      </c>
      <c r="H10" s="4">
        <v>4</v>
      </c>
      <c r="I10" s="4">
        <v>0</v>
      </c>
      <c r="J10" s="4">
        <v>0</v>
      </c>
      <c r="K10" s="21">
        <f t="shared" si="0"/>
        <v>44</v>
      </c>
      <c r="L10" s="22" t="s">
        <v>549</v>
      </c>
      <c r="M10" s="3" t="s">
        <v>550</v>
      </c>
      <c r="N10" s="11" t="s">
        <v>116</v>
      </c>
      <c r="O10" s="12">
        <v>1.5</v>
      </c>
      <c r="P10" s="11" t="s">
        <v>232</v>
      </c>
      <c r="Q10" s="12">
        <f>IF(O10="","",IF(P10="без ПДВ",O10*(1+Інструкція!$C$6),O10))</f>
        <v>1.7999999999999998</v>
      </c>
      <c r="R10" s="13">
        <f t="shared" si="1"/>
        <v>79.199999999999989</v>
      </c>
      <c r="S10" s="14" t="s">
        <v>117</v>
      </c>
      <c r="T10" s="11">
        <v>14</v>
      </c>
      <c r="U10" s="11">
        <v>1</v>
      </c>
      <c r="V10" s="3" t="s">
        <v>551</v>
      </c>
      <c r="W10" s="3" t="s">
        <v>552</v>
      </c>
      <c r="X10" s="14" t="s">
        <v>117</v>
      </c>
      <c r="Y10" s="11" t="s">
        <v>121</v>
      </c>
      <c r="Z10" s="23" t="s">
        <v>553</v>
      </c>
      <c r="AA10" s="11">
        <f>IF(K10&gt;0,IFERROR(MATCH(L10,Кошики!$A$2:$A$10,0),99)*1000+ROW(),"")</f>
        <v>4010</v>
      </c>
    </row>
    <row r="11" spans="1:27" ht="39.6" x14ac:dyDescent="0.3">
      <c r="A11" s="11" t="s">
        <v>554</v>
      </c>
      <c r="B11" s="8" t="s">
        <v>555</v>
      </c>
      <c r="C11" s="3" t="s">
        <v>556</v>
      </c>
      <c r="D11" s="3" t="s">
        <v>557</v>
      </c>
      <c r="E11" s="11">
        <v>4</v>
      </c>
      <c r="F11" s="11" t="s">
        <v>112</v>
      </c>
      <c r="G11" s="11">
        <f>E11*Інструкція!$C$5</f>
        <v>20</v>
      </c>
      <c r="H11" s="4">
        <v>2</v>
      </c>
      <c r="I11" s="4">
        <v>0</v>
      </c>
      <c r="J11" s="4">
        <v>0</v>
      </c>
      <c r="K11" s="21">
        <f t="shared" si="0"/>
        <v>22</v>
      </c>
      <c r="L11" s="22" t="s">
        <v>549</v>
      </c>
      <c r="M11" s="3" t="s">
        <v>558</v>
      </c>
      <c r="N11" s="11" t="s">
        <v>116</v>
      </c>
      <c r="O11" s="12">
        <v>1.2</v>
      </c>
      <c r="P11" s="11" t="s">
        <v>232</v>
      </c>
      <c r="Q11" s="12">
        <f>IF(O11="","",IF(P11="без ПДВ",O11*(1+Інструкція!$C$6),O11))</f>
        <v>1.44</v>
      </c>
      <c r="R11" s="13">
        <f t="shared" si="1"/>
        <v>31.68</v>
      </c>
      <c r="S11" s="14" t="s">
        <v>117</v>
      </c>
      <c r="T11" s="11">
        <v>17</v>
      </c>
      <c r="U11" s="11">
        <v>1</v>
      </c>
      <c r="V11" s="3" t="s">
        <v>559</v>
      </c>
      <c r="W11" s="3" t="s">
        <v>560</v>
      </c>
      <c r="X11" s="14" t="s">
        <v>117</v>
      </c>
      <c r="Y11" s="11" t="s">
        <v>121</v>
      </c>
      <c r="Z11" s="23" t="s">
        <v>561</v>
      </c>
      <c r="AA11" s="11">
        <f>IF(K11&gt;0,IFERROR(MATCH(L11,Кошики!$A$2:$A$10,0),99)*1000+ROW(),"")</f>
        <v>4011</v>
      </c>
    </row>
    <row r="12" spans="1:27" ht="52.8" x14ac:dyDescent="0.3">
      <c r="A12" s="11" t="s">
        <v>562</v>
      </c>
      <c r="B12" s="8" t="s">
        <v>563</v>
      </c>
      <c r="C12" s="3" t="s">
        <v>564</v>
      </c>
      <c r="D12" s="3" t="s">
        <v>565</v>
      </c>
      <c r="E12" s="11">
        <v>1</v>
      </c>
      <c r="F12" s="11" t="s">
        <v>112</v>
      </c>
      <c r="G12" s="11">
        <f>E12*Інструкція!$C$5</f>
        <v>5</v>
      </c>
      <c r="H12" s="4">
        <v>0</v>
      </c>
      <c r="I12" s="4">
        <v>0</v>
      </c>
      <c r="J12" s="4">
        <v>0</v>
      </c>
      <c r="K12" s="21">
        <f t="shared" si="0"/>
        <v>5</v>
      </c>
      <c r="L12" s="22" t="s">
        <v>566</v>
      </c>
      <c r="M12" s="3" t="s">
        <v>567</v>
      </c>
      <c r="N12" s="11" t="s">
        <v>116</v>
      </c>
      <c r="O12" s="12">
        <v>40</v>
      </c>
      <c r="P12" s="11" t="s">
        <v>119</v>
      </c>
      <c r="Q12" s="12">
        <f>IF(O12="","",IF(P12="без ПДВ",O12*(1+Інструкція!$C$6),O12))</f>
        <v>40</v>
      </c>
      <c r="R12" s="13">
        <f t="shared" si="1"/>
        <v>200</v>
      </c>
      <c r="S12" s="14" t="s">
        <v>117</v>
      </c>
      <c r="T12" s="11">
        <v>1</v>
      </c>
      <c r="U12" s="11">
        <v>1</v>
      </c>
      <c r="V12" s="3" t="s">
        <v>568</v>
      </c>
      <c r="W12" s="3" t="s">
        <v>569</v>
      </c>
      <c r="X12" s="14" t="s">
        <v>117</v>
      </c>
      <c r="Y12" s="11" t="s">
        <v>121</v>
      </c>
      <c r="Z12" s="23" t="s">
        <v>570</v>
      </c>
      <c r="AA12" s="11">
        <f>IF(K12&gt;0,IFERROR(MATCH(L12,Кошики!$A$2:$A$10,0),99)*1000+ROW(),"")</f>
        <v>7012</v>
      </c>
    </row>
    <row r="13" spans="1:27" ht="66" x14ac:dyDescent="0.3">
      <c r="A13" s="11" t="s">
        <v>571</v>
      </c>
      <c r="B13" s="8" t="s">
        <v>572</v>
      </c>
      <c r="C13" s="3" t="s">
        <v>573</v>
      </c>
      <c r="D13" s="3" t="s">
        <v>574</v>
      </c>
      <c r="E13" s="11">
        <v>1</v>
      </c>
      <c r="F13" s="11" t="s">
        <v>112</v>
      </c>
      <c r="G13" s="11">
        <f>E13*Інструкція!$C$5</f>
        <v>5</v>
      </c>
      <c r="H13" s="4">
        <v>5</v>
      </c>
      <c r="I13" s="4">
        <v>0</v>
      </c>
      <c r="J13" s="4">
        <v>0</v>
      </c>
      <c r="K13" s="21">
        <f t="shared" si="0"/>
        <v>10</v>
      </c>
      <c r="L13" s="22" t="s">
        <v>549</v>
      </c>
      <c r="M13" s="3" t="s">
        <v>575</v>
      </c>
      <c r="N13" s="11" t="s">
        <v>116</v>
      </c>
      <c r="O13" s="12">
        <v>5</v>
      </c>
      <c r="P13" s="11" t="s">
        <v>232</v>
      </c>
      <c r="Q13" s="12">
        <f>IF(O13="","",IF(P13="без ПДВ",O13*(1+Інструкція!$C$6),O13))</f>
        <v>6</v>
      </c>
      <c r="R13" s="13">
        <f t="shared" si="1"/>
        <v>60</v>
      </c>
      <c r="S13" s="14" t="s">
        <v>117</v>
      </c>
      <c r="T13" s="11">
        <v>10</v>
      </c>
      <c r="U13" s="11">
        <v>1</v>
      </c>
      <c r="V13" s="3" t="s">
        <v>576</v>
      </c>
      <c r="W13" s="3" t="s">
        <v>577</v>
      </c>
      <c r="X13" s="14" t="s">
        <v>117</v>
      </c>
      <c r="Y13" s="11" t="s">
        <v>121</v>
      </c>
      <c r="Z13" s="23" t="s">
        <v>578</v>
      </c>
      <c r="AA13" s="11">
        <f>IF(K13&gt;0,IFERROR(MATCH(L13,Кошики!$A$2:$A$10,0),99)*1000+ROW(),"")</f>
        <v>4013</v>
      </c>
    </row>
    <row r="14" spans="1:27" x14ac:dyDescent="0.3">
      <c r="Q14" s="8" t="s">
        <v>482</v>
      </c>
      <c r="R14" s="13">
        <f>SUM(R5:R13)</f>
        <v>808.55999999999983</v>
      </c>
    </row>
  </sheetData>
  <mergeCells count="3">
    <mergeCell ref="A2:V2"/>
    <mergeCell ref="A1:V1"/>
    <mergeCell ref="A3:V3"/>
  </mergeCells>
  <conditionalFormatting sqref="N5:N13">
    <cfRule type="expression" dxfId="13" priority="1">
      <formula>$N5="в наявності"</formula>
    </cfRule>
    <cfRule type="expression" dxfId="12" priority="2">
      <formula>$N5="з набору"</formula>
    </cfRule>
    <cfRule type="expression" dxfId="11" priority="3">
      <formula>$N5="під замовлення"</formula>
    </cfRule>
    <cfRule type="expression" dxfId="10" priority="4">
      <formula>LEFT($N5,5)="немає"</formula>
    </cfRule>
    <cfRule type="expression" dxfId="9" priority="5">
      <formula>LEFT($N5,7)="набору "</formula>
    </cfRule>
    <cfRule type="expression" dxfId="8" priority="6">
      <formula>$N5="є у власника"</formula>
    </cfRule>
    <cfRule type="expression" dxfId="7" priority="7">
      <formula>$N5="не купується"</formula>
    </cfRule>
  </conditionalFormatting>
  <hyperlinks>
    <hyperlink ref="S5" r:id="rId1" xr:uid="{00000000-0004-0000-0400-000000000000}"/>
    <hyperlink ref="X5" r:id="rId2" xr:uid="{00000000-0004-0000-0400-000001000000}"/>
    <hyperlink ref="S6" r:id="rId3" xr:uid="{00000000-0004-0000-0400-000002000000}"/>
    <hyperlink ref="S7" r:id="rId4" xr:uid="{00000000-0004-0000-0400-000003000000}"/>
    <hyperlink ref="S8" r:id="rId5" xr:uid="{00000000-0004-0000-0400-000004000000}"/>
    <hyperlink ref="X8" r:id="rId6" xr:uid="{00000000-0004-0000-0400-000005000000}"/>
    <hyperlink ref="S9" r:id="rId7" xr:uid="{00000000-0004-0000-0400-000006000000}"/>
    <hyperlink ref="X9" r:id="rId8" xr:uid="{00000000-0004-0000-0400-000007000000}"/>
    <hyperlink ref="S10" r:id="rId9" xr:uid="{00000000-0004-0000-0400-000008000000}"/>
    <hyperlink ref="X10" r:id="rId10" xr:uid="{00000000-0004-0000-0400-000009000000}"/>
    <hyperlink ref="S11" r:id="rId11" xr:uid="{00000000-0004-0000-0400-00000A000000}"/>
    <hyperlink ref="X11" r:id="rId12" xr:uid="{00000000-0004-0000-0400-00000B000000}"/>
    <hyperlink ref="S12" r:id="rId13" xr:uid="{00000000-0004-0000-0400-00000C000000}"/>
    <hyperlink ref="X12" r:id="rId14" xr:uid="{00000000-0004-0000-0400-00000D000000}"/>
    <hyperlink ref="S13" r:id="rId15" xr:uid="{00000000-0004-0000-0400-00000E000000}"/>
    <hyperlink ref="X13" r:id="rId16" xr:uid="{00000000-0004-0000-0400-00000F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errorTitle="Магазин" error="Магазину немає у списку на аркуші «Кошики»: додайте його туди, щоб він потрапив у підсумки." xr:uid="{00000000-0002-0000-0400-000000000000}">
          <x14:formula1>
            <xm:f>Кошики!$A$2:$A$10</xm:f>
          </x14:formula1>
          <xm:sqref>L5:L13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4" width="10" customWidth="1"/>
    <col min="5" max="6" width="12" customWidth="1"/>
    <col min="7" max="7" width="14" customWidth="1"/>
    <col min="8" max="8" width="80" customWidth="1"/>
  </cols>
  <sheetData>
    <row r="1" spans="1:8" ht="42" customHeight="1" x14ac:dyDescent="0.3">
      <c r="A1" s="6" t="s">
        <v>52</v>
      </c>
      <c r="B1" s="6" t="s">
        <v>579</v>
      </c>
      <c r="C1" s="6" t="s">
        <v>580</v>
      </c>
      <c r="D1" s="6" t="s">
        <v>581</v>
      </c>
      <c r="E1" s="6" t="s">
        <v>58</v>
      </c>
      <c r="F1" s="6" t="s">
        <v>582</v>
      </c>
      <c r="G1" s="6" t="s">
        <v>583</v>
      </c>
      <c r="H1" s="6" t="s">
        <v>584</v>
      </c>
    </row>
    <row r="2" spans="1:8" ht="26.4" x14ac:dyDescent="0.3">
      <c r="A2" s="8" t="s">
        <v>114</v>
      </c>
      <c r="B2" s="11">
        <f>COUNTIFS(Плата!$O$6:$O$44,A2,Плата!$L$6:$L$44,"&gt;0")</f>
        <v>29</v>
      </c>
      <c r="C2" s="11">
        <f>COUNTIFS(Набори!$G$5:$G$5,A2,Набори!$E$5:$E$5,"&gt;0")</f>
        <v>0</v>
      </c>
      <c r="D2" s="11">
        <f>COUNTIFS('Поза платою'!$L$5:$L$13,A2,'Поза платою'!$K$5:$K$13,"&gt;0")</f>
        <v>2</v>
      </c>
      <c r="E2" s="13">
        <f>SUMIF(Плата!$O$6:$O$44,A2,Плата!$S$6:$S$44)+SUMIF(Набори!$G$5:$G$5,A2,Набори!$L$5:$L$5)+SUMIF('Поза платою'!$L$5:$L$13,A2,'Поза платою'!$R$5:$R$13)</f>
        <v>3482.5999999999995</v>
      </c>
      <c r="F2" s="11"/>
      <c r="G2" s="15" t="str">
        <f t="shared" ref="G2:G10" si="0">IF(OR(F2="",B2+C2+D2=0),"",MAX(0,F2-E2))</f>
        <v/>
      </c>
      <c r="H2" s="3" t="s">
        <v>585</v>
      </c>
    </row>
    <row r="3" spans="1:8" ht="26.4" x14ac:dyDescent="0.3">
      <c r="A3" s="8" t="s">
        <v>228</v>
      </c>
      <c r="B3" s="11">
        <f>COUNTIFS(Плата!$O$6:$O$44,A3,Плата!$L$6:$L$44,"&gt;0")</f>
        <v>6</v>
      </c>
      <c r="C3" s="11">
        <f>COUNTIFS(Набори!$G$5:$G$5,A3,Набори!$E$5:$E$5,"&gt;0")</f>
        <v>0</v>
      </c>
      <c r="D3" s="11">
        <f>COUNTIFS('Поза платою'!$L$5:$L$13,A3,'Поза платою'!$K$5:$K$13,"&gt;0")</f>
        <v>0</v>
      </c>
      <c r="E3" s="13">
        <f>SUMIF(Плата!$O$6:$O$44,A3,Плата!$S$6:$S$44)+SUMIF(Набори!$G$5:$G$5,A3,Набори!$L$5:$L$5)+SUMIF('Поза платою'!$L$5:$L$13,A3,'Поза платою'!$R$5:$R$13)</f>
        <v>4869.4439999999995</v>
      </c>
      <c r="F3" s="11"/>
      <c r="G3" s="15" t="str">
        <f t="shared" si="0"/>
        <v/>
      </c>
      <c r="H3" s="3" t="s">
        <v>586</v>
      </c>
    </row>
    <row r="4" spans="1:8" ht="26.4" x14ac:dyDescent="0.3">
      <c r="A4" s="8" t="s">
        <v>532</v>
      </c>
      <c r="B4" s="11">
        <f>COUNTIFS(Плата!$O$6:$O$44,A4,Плата!$L$6:$L$44,"&gt;0")</f>
        <v>0</v>
      </c>
      <c r="C4" s="11">
        <f>COUNTIFS(Набори!$G$5:$G$5,A4,Набори!$E$5:$E$5,"&gt;0")</f>
        <v>0</v>
      </c>
      <c r="D4" s="11">
        <f>COUNTIFS('Поза платою'!$L$5:$L$13,A4,'Поза платою'!$K$5:$K$13,"&gt;0")</f>
        <v>2</v>
      </c>
      <c r="E4" s="13">
        <f>SUMIF(Плата!$O$6:$O$44,A4,Плата!$S$6:$S$44)+SUMIF(Набори!$G$5:$G$5,A4,Набори!$L$5:$L$5)+SUMIF('Поза платою'!$L$5:$L$13,A4,'Поза платою'!$R$5:$R$13)</f>
        <v>164.4</v>
      </c>
      <c r="F4" s="11"/>
      <c r="G4" s="15" t="str">
        <f t="shared" si="0"/>
        <v/>
      </c>
      <c r="H4" s="3" t="s">
        <v>587</v>
      </c>
    </row>
    <row r="5" spans="1:8" x14ac:dyDescent="0.3">
      <c r="A5" s="8" t="s">
        <v>549</v>
      </c>
      <c r="B5" s="11">
        <f>COUNTIFS(Плата!$O$6:$O$44,A5,Плата!$L$6:$L$44,"&gt;0")</f>
        <v>0</v>
      </c>
      <c r="C5" s="11">
        <f>COUNTIFS(Набори!$G$5:$G$5,A5,Набори!$E$5:$E$5,"&gt;0")</f>
        <v>0</v>
      </c>
      <c r="D5" s="11">
        <f>COUNTIFS('Поза платою'!$L$5:$L$13,A5,'Поза платою'!$K$5:$K$13,"&gt;0")</f>
        <v>3</v>
      </c>
      <c r="E5" s="13">
        <f>SUMIF(Плата!$O$6:$O$44,A5,Плата!$S$6:$S$44)+SUMIF(Набори!$G$5:$G$5,A5,Набори!$L$5:$L$5)+SUMIF('Поза платою'!$L$5:$L$13,A5,'Поза платою'!$R$5:$R$13)</f>
        <v>170.88</v>
      </c>
      <c r="F5" s="11"/>
      <c r="G5" s="15" t="str">
        <f t="shared" si="0"/>
        <v/>
      </c>
      <c r="H5" s="3" t="s">
        <v>588</v>
      </c>
    </row>
    <row r="6" spans="1:8" x14ac:dyDescent="0.3">
      <c r="A6" s="8" t="s">
        <v>589</v>
      </c>
      <c r="B6" s="11">
        <f>COUNTIFS(Плата!$O$6:$O$44,A6,Плата!$L$6:$L$44,"&gt;0")</f>
        <v>0</v>
      </c>
      <c r="C6" s="11">
        <f>COUNTIFS(Набори!$G$5:$G$5,A6,Набори!$E$5:$E$5,"&gt;0")</f>
        <v>0</v>
      </c>
      <c r="D6" s="11">
        <f>COUNTIFS('Поза платою'!$L$5:$L$13,A6,'Поза платою'!$K$5:$K$13,"&gt;0")</f>
        <v>0</v>
      </c>
      <c r="E6" s="13">
        <f>SUMIF(Плата!$O$6:$O$44,A6,Плата!$S$6:$S$44)+SUMIF(Набори!$G$5:$G$5,A6,Набори!$L$5:$L$5)+SUMIF('Поза платою'!$L$5:$L$13,A6,'Поза платою'!$R$5:$R$13)</f>
        <v>0</v>
      </c>
      <c r="F6" s="11">
        <v>300</v>
      </c>
      <c r="G6" s="15" t="str">
        <f t="shared" si="0"/>
        <v/>
      </c>
      <c r="H6" s="3" t="s">
        <v>590</v>
      </c>
    </row>
    <row r="7" spans="1:8" ht="26.4" x14ac:dyDescent="0.3">
      <c r="A7" s="8" t="s">
        <v>510</v>
      </c>
      <c r="B7" s="11">
        <f>COUNTIFS(Плата!$O$6:$O$44,A7,Плата!$L$6:$L$44,"&gt;0")</f>
        <v>0</v>
      </c>
      <c r="C7" s="11">
        <f>COUNTIFS(Набори!$G$5:$G$5,A7,Набори!$E$5:$E$5,"&gt;0")</f>
        <v>0</v>
      </c>
      <c r="D7" s="11">
        <f>COUNTIFS('Поза платою'!$L$5:$L$13,A7,'Поза платою'!$K$5:$K$13,"&gt;0")</f>
        <v>1</v>
      </c>
      <c r="E7" s="13">
        <f>SUMIF(Плата!$O$6:$O$44,A7,Плата!$S$6:$S$44)+SUMIF(Набори!$G$5:$G$5,A7,Набори!$L$5:$L$5)+SUMIF('Поза платою'!$L$5:$L$13,A7,'Поза платою'!$R$5:$R$13)</f>
        <v>250</v>
      </c>
      <c r="F7" s="11">
        <v>100</v>
      </c>
      <c r="G7" s="15">
        <f t="shared" si="0"/>
        <v>0</v>
      </c>
      <c r="H7" s="3" t="s">
        <v>591</v>
      </c>
    </row>
    <row r="8" spans="1:8" ht="26.4" x14ac:dyDescent="0.3">
      <c r="A8" s="8" t="s">
        <v>566</v>
      </c>
      <c r="B8" s="11">
        <f>COUNTIFS(Плата!$O$6:$O$44,A8,Плата!$L$6:$L$44,"&gt;0")</f>
        <v>0</v>
      </c>
      <c r="C8" s="11">
        <f>COUNTIFS(Набори!$G$5:$G$5,A8,Набори!$E$5:$E$5,"&gt;0")</f>
        <v>0</v>
      </c>
      <c r="D8" s="11">
        <f>COUNTIFS('Поза платою'!$L$5:$L$13,A8,'Поза платою'!$K$5:$K$13,"&gt;0")</f>
        <v>1</v>
      </c>
      <c r="E8" s="13">
        <f>SUMIF(Плата!$O$6:$O$44,A8,Плата!$S$6:$S$44)+SUMIF(Набори!$G$5:$G$5,A8,Набори!$L$5:$L$5)+SUMIF('Поза платою'!$L$5:$L$13,A8,'Поза платою'!$R$5:$R$13)</f>
        <v>200</v>
      </c>
      <c r="F8" s="11">
        <v>150</v>
      </c>
      <c r="G8" s="15">
        <f t="shared" si="0"/>
        <v>0</v>
      </c>
      <c r="H8" s="3" t="s">
        <v>592</v>
      </c>
    </row>
    <row r="9" spans="1:8" x14ac:dyDescent="0.3">
      <c r="A9" s="8" t="s">
        <v>496</v>
      </c>
      <c r="B9" s="11">
        <f>COUNTIFS(Плата!$O$6:$O$44,A9,Плата!$L$6:$L$44,"&gt;0")</f>
        <v>0</v>
      </c>
      <c r="C9" s="11">
        <f>COUNTIFS(Набори!$G$5:$G$5,A9,Набори!$E$5:$E$5,"&gt;0")</f>
        <v>0</v>
      </c>
      <c r="D9" s="11">
        <f>COUNTIFS('Поза платою'!$L$5:$L$13,A9,'Поза платою'!$K$5:$K$13,"&gt;0")</f>
        <v>0</v>
      </c>
      <c r="E9" s="13">
        <f>SUMIF(Плата!$O$6:$O$44,A9,Плата!$S$6:$S$44)+SUMIF(Набори!$G$5:$G$5,A9,Набори!$L$5:$L$5)+SUMIF('Поза платою'!$L$5:$L$13,A9,'Поза платою'!$R$5:$R$13)</f>
        <v>0</v>
      </c>
      <c r="F9" s="11"/>
      <c r="G9" s="15" t="str">
        <f t="shared" si="0"/>
        <v/>
      </c>
      <c r="H9" s="3" t="s">
        <v>593</v>
      </c>
    </row>
    <row r="10" spans="1:8" ht="26.4" x14ac:dyDescent="0.3">
      <c r="A10" s="8" t="s">
        <v>594</v>
      </c>
      <c r="B10" s="11">
        <f>COUNTIFS(Плата!$O$6:$O$44,A10,Плата!$L$6:$L$44,"&gt;0")</f>
        <v>0</v>
      </c>
      <c r="C10" s="11">
        <f>COUNTIFS(Набори!$G$5:$G$5,A10,Набори!$E$5:$E$5,"&gt;0")</f>
        <v>0</v>
      </c>
      <c r="D10" s="11">
        <f>COUNTIFS('Поза платою'!$L$5:$L$13,A10,'Поза платою'!$K$5:$K$13,"&gt;0")</f>
        <v>0</v>
      </c>
      <c r="E10" s="13">
        <f>SUMIF(Плата!$O$6:$O$44,A10,Плата!$S$6:$S$44)+SUMIF(Набори!$G$5:$G$5,A10,Набори!$L$5:$L$5)+SUMIF('Поза платою'!$L$5:$L$13,A10,'Поза платою'!$R$5:$R$13)</f>
        <v>0</v>
      </c>
      <c r="F10" s="11"/>
      <c r="G10" s="15" t="str">
        <f t="shared" si="0"/>
        <v/>
      </c>
      <c r="H10" s="3" t="s">
        <v>595</v>
      </c>
    </row>
    <row r="11" spans="1:8" x14ac:dyDescent="0.3">
      <c r="A11" s="8" t="s">
        <v>480</v>
      </c>
      <c r="B11" s="31">
        <f>SUM(B2:B10)</f>
        <v>35</v>
      </c>
      <c r="C11" s="31">
        <f>SUM(C2:C10)</f>
        <v>0</v>
      </c>
      <c r="D11" s="31">
        <f>SUM(D2:D10)</f>
        <v>9</v>
      </c>
      <c r="E11" s="13">
        <f>SUM(E2:E10)</f>
        <v>9137.3239999999969</v>
      </c>
    </row>
    <row r="13" spans="1:8" ht="30" customHeight="1" x14ac:dyDescent="0.3">
      <c r="A13" s="36" t="s">
        <v>596</v>
      </c>
      <c r="B13" s="34"/>
      <c r="C13" s="34"/>
      <c r="D13" s="34"/>
      <c r="E13" s="34"/>
      <c r="F13" s="34"/>
      <c r="G13" s="34"/>
      <c r="H13" s="35"/>
    </row>
  </sheetData>
  <mergeCells count="1">
    <mergeCell ref="A13:H13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3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8" customWidth="1"/>
    <col min="3" max="3" width="34" customWidth="1"/>
    <col min="4" max="4" width="10" customWidth="1"/>
    <col min="5" max="5" width="20" customWidth="1"/>
    <col min="6" max="6" width="34" customWidth="1"/>
    <col min="7" max="7" width="11" customWidth="1"/>
    <col min="8" max="8" width="12" customWidth="1"/>
    <col min="9" max="10" width="34" customWidth="1"/>
    <col min="11" max="11" width="40" customWidth="1"/>
    <col min="12" max="12" width="6" customWidth="1"/>
    <col min="13" max="14" width="10" customWidth="1"/>
    <col min="15" max="15" width="11" customWidth="1"/>
  </cols>
  <sheetData>
    <row r="1" spans="1:15" ht="42" customHeight="1" x14ac:dyDescent="0.3">
      <c r="A1" s="6" t="s">
        <v>597</v>
      </c>
      <c r="B1" s="6" t="s">
        <v>79</v>
      </c>
      <c r="C1" s="6" t="s">
        <v>598</v>
      </c>
      <c r="D1" s="6" t="s">
        <v>599</v>
      </c>
      <c r="E1" s="6" t="s">
        <v>52</v>
      </c>
      <c r="F1" s="6" t="s">
        <v>600</v>
      </c>
      <c r="G1" s="6" t="s">
        <v>98</v>
      </c>
      <c r="H1" s="6" t="s">
        <v>601</v>
      </c>
      <c r="I1" s="6" t="s">
        <v>602</v>
      </c>
      <c r="J1" s="6" t="s">
        <v>603</v>
      </c>
      <c r="K1" s="6" t="s">
        <v>604</v>
      </c>
      <c r="L1" s="6" t="s">
        <v>605</v>
      </c>
      <c r="M1" s="6" t="s">
        <v>606</v>
      </c>
      <c r="N1" s="6" t="s">
        <v>60</v>
      </c>
      <c r="O1" s="6" t="s">
        <v>99</v>
      </c>
    </row>
    <row r="2" spans="1:15" ht="39.6" x14ac:dyDescent="0.3">
      <c r="A2" s="11">
        <v>1</v>
      </c>
      <c r="B2" s="3" t="s">
        <v>108</v>
      </c>
      <c r="C2" s="3" t="s">
        <v>111</v>
      </c>
      <c r="D2" s="11" t="s">
        <v>607</v>
      </c>
      <c r="E2" s="3" t="s">
        <v>114</v>
      </c>
      <c r="F2" s="3" t="s">
        <v>115</v>
      </c>
      <c r="G2" s="11" t="s">
        <v>120</v>
      </c>
      <c r="H2" s="11" t="s">
        <v>116</v>
      </c>
      <c r="I2" s="3" t="s">
        <v>608</v>
      </c>
      <c r="J2" s="3" t="s">
        <v>609</v>
      </c>
      <c r="K2" s="3" t="s">
        <v>610</v>
      </c>
      <c r="L2" s="11">
        <v>200</v>
      </c>
      <c r="M2" s="11" t="s">
        <v>172</v>
      </c>
      <c r="N2" s="14" t="s">
        <v>117</v>
      </c>
      <c r="O2" s="11" t="s">
        <v>121</v>
      </c>
    </row>
    <row r="3" spans="1:15" ht="39.6" x14ac:dyDescent="0.3">
      <c r="A3" s="11">
        <v>1</v>
      </c>
      <c r="B3" s="3" t="s">
        <v>108</v>
      </c>
      <c r="C3" s="3" t="s">
        <v>111</v>
      </c>
      <c r="D3" s="11" t="s">
        <v>611</v>
      </c>
      <c r="E3" s="3" t="s">
        <v>532</v>
      </c>
      <c r="F3" s="3" t="s">
        <v>115</v>
      </c>
      <c r="G3" s="11" t="s">
        <v>120</v>
      </c>
      <c r="H3" s="11" t="s">
        <v>116</v>
      </c>
      <c r="I3" s="3" t="s">
        <v>612</v>
      </c>
      <c r="J3" s="3" t="s">
        <v>613</v>
      </c>
      <c r="K3" s="3" t="s">
        <v>614</v>
      </c>
      <c r="L3" s="11">
        <v>200</v>
      </c>
      <c r="M3" s="11" t="s">
        <v>172</v>
      </c>
      <c r="N3" s="14" t="s">
        <v>117</v>
      </c>
      <c r="O3" s="11" t="s">
        <v>121</v>
      </c>
    </row>
    <row r="4" spans="1:15" ht="39.6" x14ac:dyDescent="0.3">
      <c r="A4" s="11">
        <v>1</v>
      </c>
      <c r="B4" s="3" t="s">
        <v>108</v>
      </c>
      <c r="C4" s="3" t="s">
        <v>111</v>
      </c>
      <c r="D4" s="11" t="s">
        <v>123</v>
      </c>
      <c r="E4" s="3" t="s">
        <v>594</v>
      </c>
      <c r="F4" s="3" t="s">
        <v>615</v>
      </c>
      <c r="G4" s="11" t="s">
        <v>123</v>
      </c>
      <c r="H4" s="11"/>
      <c r="I4" s="3" t="s">
        <v>616</v>
      </c>
      <c r="J4" s="3"/>
      <c r="K4" s="3" t="s">
        <v>617</v>
      </c>
      <c r="L4" s="11">
        <v>200</v>
      </c>
      <c r="M4" s="11" t="s">
        <v>172</v>
      </c>
      <c r="N4" s="14" t="s">
        <v>117</v>
      </c>
      <c r="O4" s="11" t="s">
        <v>121</v>
      </c>
    </row>
    <row r="5" spans="1:15" ht="52.8" x14ac:dyDescent="0.3">
      <c r="A5" s="11">
        <v>2</v>
      </c>
      <c r="B5" s="3" t="s">
        <v>127</v>
      </c>
      <c r="C5" s="3" t="s">
        <v>130</v>
      </c>
      <c r="D5" s="11" t="s">
        <v>607</v>
      </c>
      <c r="E5" s="3" t="s">
        <v>114</v>
      </c>
      <c r="F5" s="3" t="s">
        <v>131</v>
      </c>
      <c r="G5" s="11" t="s">
        <v>120</v>
      </c>
      <c r="H5" s="11" t="s">
        <v>116</v>
      </c>
      <c r="I5" s="3" t="s">
        <v>608</v>
      </c>
      <c r="J5" s="3" t="s">
        <v>618</v>
      </c>
      <c r="K5" s="3" t="s">
        <v>619</v>
      </c>
      <c r="L5" s="11">
        <v>200</v>
      </c>
      <c r="M5" s="11" t="s">
        <v>172</v>
      </c>
      <c r="N5" s="14" t="s">
        <v>117</v>
      </c>
      <c r="O5" s="11" t="s">
        <v>121</v>
      </c>
    </row>
    <row r="6" spans="1:15" ht="52.8" x14ac:dyDescent="0.3">
      <c r="A6" s="11">
        <v>2</v>
      </c>
      <c r="B6" s="3" t="s">
        <v>127</v>
      </c>
      <c r="C6" s="3" t="s">
        <v>130</v>
      </c>
      <c r="D6" s="11" t="s">
        <v>611</v>
      </c>
      <c r="E6" s="3" t="s">
        <v>228</v>
      </c>
      <c r="F6" s="3" t="s">
        <v>620</v>
      </c>
      <c r="G6" s="11" t="s">
        <v>429</v>
      </c>
      <c r="H6" s="11" t="s">
        <v>116</v>
      </c>
      <c r="I6" s="3" t="s">
        <v>621</v>
      </c>
      <c r="J6" s="3" t="s">
        <v>622</v>
      </c>
      <c r="K6" s="3" t="s">
        <v>623</v>
      </c>
      <c r="L6" s="11">
        <v>200</v>
      </c>
      <c r="M6" s="11" t="s">
        <v>172</v>
      </c>
      <c r="N6" s="14" t="s">
        <v>117</v>
      </c>
      <c r="O6" s="11" t="s">
        <v>121</v>
      </c>
    </row>
    <row r="7" spans="1:15" ht="52.8" x14ac:dyDescent="0.3">
      <c r="A7" s="11">
        <v>2</v>
      </c>
      <c r="B7" s="3" t="s">
        <v>127</v>
      </c>
      <c r="C7" s="3" t="s">
        <v>130</v>
      </c>
      <c r="D7" s="11" t="s">
        <v>123</v>
      </c>
      <c r="E7" s="3" t="s">
        <v>594</v>
      </c>
      <c r="F7" s="3" t="s">
        <v>615</v>
      </c>
      <c r="G7" s="11" t="s">
        <v>123</v>
      </c>
      <c r="H7" s="11"/>
      <c r="I7" s="3" t="s">
        <v>616</v>
      </c>
      <c r="J7" s="3"/>
      <c r="K7" s="3" t="s">
        <v>624</v>
      </c>
      <c r="L7" s="11">
        <v>200</v>
      </c>
      <c r="M7" s="11" t="s">
        <v>172</v>
      </c>
      <c r="N7" s="14" t="s">
        <v>117</v>
      </c>
      <c r="O7" s="11" t="s">
        <v>121</v>
      </c>
    </row>
    <row r="8" spans="1:15" ht="39.6" x14ac:dyDescent="0.3">
      <c r="A8" s="11">
        <v>3</v>
      </c>
      <c r="B8" s="3" t="s">
        <v>137</v>
      </c>
      <c r="C8" s="3" t="s">
        <v>140</v>
      </c>
      <c r="D8" s="11" t="s">
        <v>607</v>
      </c>
      <c r="E8" s="3" t="s">
        <v>114</v>
      </c>
      <c r="F8" s="3" t="s">
        <v>141</v>
      </c>
      <c r="G8" s="11" t="s">
        <v>120</v>
      </c>
      <c r="H8" s="11" t="s">
        <v>116</v>
      </c>
      <c r="I8" s="3" t="s">
        <v>608</v>
      </c>
      <c r="J8" s="3" t="s">
        <v>625</v>
      </c>
      <c r="K8" s="3" t="s">
        <v>626</v>
      </c>
      <c r="L8" s="11">
        <v>200</v>
      </c>
      <c r="M8" s="11" t="s">
        <v>172</v>
      </c>
      <c r="N8" s="14" t="s">
        <v>117</v>
      </c>
      <c r="O8" s="11" t="s">
        <v>121</v>
      </c>
    </row>
    <row r="9" spans="1:15" ht="39.6" x14ac:dyDescent="0.3">
      <c r="A9" s="11">
        <v>3</v>
      </c>
      <c r="B9" s="3" t="s">
        <v>137</v>
      </c>
      <c r="C9" s="3" t="s">
        <v>140</v>
      </c>
      <c r="D9" s="11" t="s">
        <v>611</v>
      </c>
      <c r="E9" s="3" t="s">
        <v>532</v>
      </c>
      <c r="F9" s="3" t="s">
        <v>627</v>
      </c>
      <c r="G9" s="11" t="s">
        <v>120</v>
      </c>
      <c r="H9" s="11" t="s">
        <v>230</v>
      </c>
      <c r="I9" s="3" t="s">
        <v>628</v>
      </c>
      <c r="J9" s="3" t="s">
        <v>629</v>
      </c>
      <c r="K9" s="3" t="s">
        <v>630</v>
      </c>
      <c r="L9" s="11">
        <v>200</v>
      </c>
      <c r="M9" s="11" t="s">
        <v>172</v>
      </c>
      <c r="N9" s="14" t="s">
        <v>117</v>
      </c>
      <c r="O9" s="11" t="s">
        <v>121</v>
      </c>
    </row>
    <row r="10" spans="1:15" ht="39.6" x14ac:dyDescent="0.3">
      <c r="A10" s="11">
        <v>3</v>
      </c>
      <c r="B10" s="3" t="s">
        <v>137</v>
      </c>
      <c r="C10" s="3" t="s">
        <v>140</v>
      </c>
      <c r="D10" s="11" t="s">
        <v>123</v>
      </c>
      <c r="E10" s="3" t="s">
        <v>594</v>
      </c>
      <c r="F10" s="3" t="s">
        <v>615</v>
      </c>
      <c r="G10" s="11" t="s">
        <v>123</v>
      </c>
      <c r="H10" s="11"/>
      <c r="I10" s="3" t="s">
        <v>616</v>
      </c>
      <c r="J10" s="3"/>
      <c r="K10" s="3" t="s">
        <v>631</v>
      </c>
      <c r="L10" s="11">
        <v>200</v>
      </c>
      <c r="M10" s="11" t="s">
        <v>172</v>
      </c>
      <c r="N10" s="14" t="s">
        <v>117</v>
      </c>
      <c r="O10" s="11" t="s">
        <v>121</v>
      </c>
    </row>
    <row r="11" spans="1:15" ht="39.6" x14ac:dyDescent="0.3">
      <c r="A11" s="11">
        <v>4</v>
      </c>
      <c r="B11" s="3" t="s">
        <v>147</v>
      </c>
      <c r="C11" s="3" t="s">
        <v>149</v>
      </c>
      <c r="D11" s="11" t="s">
        <v>607</v>
      </c>
      <c r="E11" s="3" t="s">
        <v>114</v>
      </c>
      <c r="F11" s="3" t="s">
        <v>150</v>
      </c>
      <c r="G11" s="11" t="s">
        <v>120</v>
      </c>
      <c r="H11" s="11" t="s">
        <v>116</v>
      </c>
      <c r="I11" s="3" t="s">
        <v>608</v>
      </c>
      <c r="J11" s="3" t="s">
        <v>632</v>
      </c>
      <c r="K11" s="3" t="s">
        <v>633</v>
      </c>
      <c r="L11" s="11">
        <v>200</v>
      </c>
      <c r="M11" s="11" t="s">
        <v>172</v>
      </c>
      <c r="N11" s="14" t="s">
        <v>117</v>
      </c>
      <c r="O11" s="11" t="s">
        <v>121</v>
      </c>
    </row>
    <row r="12" spans="1:15" ht="39.6" x14ac:dyDescent="0.3">
      <c r="A12" s="11">
        <v>4</v>
      </c>
      <c r="B12" s="3" t="s">
        <v>147</v>
      </c>
      <c r="C12" s="3" t="s">
        <v>149</v>
      </c>
      <c r="D12" s="11" t="s">
        <v>611</v>
      </c>
      <c r="E12" s="3" t="s">
        <v>532</v>
      </c>
      <c r="F12" s="3" t="s">
        <v>634</v>
      </c>
      <c r="G12" s="11" t="s">
        <v>120</v>
      </c>
      <c r="H12" s="11" t="s">
        <v>230</v>
      </c>
      <c r="I12" s="3" t="s">
        <v>628</v>
      </c>
      <c r="J12" s="3" t="s">
        <v>635</v>
      </c>
      <c r="K12" s="3" t="s">
        <v>636</v>
      </c>
      <c r="L12" s="11">
        <v>200</v>
      </c>
      <c r="M12" s="11" t="s">
        <v>172</v>
      </c>
      <c r="N12" s="14" t="s">
        <v>117</v>
      </c>
      <c r="O12" s="11" t="s">
        <v>121</v>
      </c>
    </row>
    <row r="13" spans="1:15" ht="39.6" x14ac:dyDescent="0.3">
      <c r="A13" s="11">
        <v>4</v>
      </c>
      <c r="B13" s="3" t="s">
        <v>147</v>
      </c>
      <c r="C13" s="3" t="s">
        <v>149</v>
      </c>
      <c r="D13" s="11" t="s">
        <v>123</v>
      </c>
      <c r="E13" s="3" t="s">
        <v>594</v>
      </c>
      <c r="F13" s="3" t="s">
        <v>615</v>
      </c>
      <c r="G13" s="11" t="s">
        <v>123</v>
      </c>
      <c r="H13" s="11"/>
      <c r="I13" s="3" t="s">
        <v>616</v>
      </c>
      <c r="J13" s="3"/>
      <c r="K13" s="3" t="s">
        <v>637</v>
      </c>
      <c r="L13" s="11">
        <v>200</v>
      </c>
      <c r="M13" s="11" t="s">
        <v>172</v>
      </c>
      <c r="N13" s="14" t="s">
        <v>117</v>
      </c>
      <c r="O13" s="11" t="s">
        <v>121</v>
      </c>
    </row>
    <row r="14" spans="1:15" ht="52.8" x14ac:dyDescent="0.3">
      <c r="A14" s="11">
        <v>5</v>
      </c>
      <c r="B14" s="3" t="s">
        <v>156</v>
      </c>
      <c r="C14" s="3" t="s">
        <v>159</v>
      </c>
      <c r="D14" s="11" t="s">
        <v>607</v>
      </c>
      <c r="E14" s="3" t="s">
        <v>114</v>
      </c>
      <c r="F14" s="3" t="s">
        <v>160</v>
      </c>
      <c r="G14" s="11" t="s">
        <v>120</v>
      </c>
      <c r="H14" s="11" t="s">
        <v>116</v>
      </c>
      <c r="I14" s="3" t="s">
        <v>608</v>
      </c>
      <c r="J14" s="3" t="s">
        <v>638</v>
      </c>
      <c r="K14" s="3" t="s">
        <v>639</v>
      </c>
      <c r="L14" s="11">
        <v>200</v>
      </c>
      <c r="M14" s="11" t="s">
        <v>172</v>
      </c>
      <c r="N14" s="14" t="s">
        <v>117</v>
      </c>
      <c r="O14" s="11" t="s">
        <v>121</v>
      </c>
    </row>
    <row r="15" spans="1:15" ht="52.8" x14ac:dyDescent="0.3">
      <c r="A15" s="11">
        <v>5</v>
      </c>
      <c r="B15" s="3" t="s">
        <v>156</v>
      </c>
      <c r="C15" s="3" t="s">
        <v>159</v>
      </c>
      <c r="D15" s="11" t="s">
        <v>611</v>
      </c>
      <c r="E15" s="3" t="s">
        <v>532</v>
      </c>
      <c r="F15" s="3" t="s">
        <v>640</v>
      </c>
      <c r="G15" s="11" t="s">
        <v>120</v>
      </c>
      <c r="H15" s="11" t="s">
        <v>230</v>
      </c>
      <c r="I15" s="3" t="s">
        <v>641</v>
      </c>
      <c r="J15" s="3" t="s">
        <v>642</v>
      </c>
      <c r="K15" s="3" t="s">
        <v>643</v>
      </c>
      <c r="L15" s="11">
        <v>200</v>
      </c>
      <c r="M15" s="11" t="s">
        <v>172</v>
      </c>
      <c r="N15" s="14" t="s">
        <v>117</v>
      </c>
      <c r="O15" s="11" t="s">
        <v>121</v>
      </c>
    </row>
    <row r="16" spans="1:15" ht="52.8" x14ac:dyDescent="0.3">
      <c r="A16" s="11">
        <v>5</v>
      </c>
      <c r="B16" s="3" t="s">
        <v>156</v>
      </c>
      <c r="C16" s="3" t="s">
        <v>159</v>
      </c>
      <c r="D16" s="11" t="s">
        <v>123</v>
      </c>
      <c r="E16" s="3" t="s">
        <v>594</v>
      </c>
      <c r="F16" s="3" t="s">
        <v>615</v>
      </c>
      <c r="G16" s="11" t="s">
        <v>123</v>
      </c>
      <c r="H16" s="11"/>
      <c r="I16" s="3" t="s">
        <v>616</v>
      </c>
      <c r="J16" s="3"/>
      <c r="K16" s="3" t="s">
        <v>644</v>
      </c>
      <c r="L16" s="11">
        <v>200</v>
      </c>
      <c r="M16" s="11" t="s">
        <v>172</v>
      </c>
      <c r="N16" s="14" t="s">
        <v>117</v>
      </c>
      <c r="O16" s="11" t="s">
        <v>121</v>
      </c>
    </row>
    <row r="17" spans="1:15" ht="39.6" x14ac:dyDescent="0.3">
      <c r="A17" s="11">
        <v>6</v>
      </c>
      <c r="B17" s="3" t="s">
        <v>166</v>
      </c>
      <c r="C17" s="3" t="s">
        <v>168</v>
      </c>
      <c r="D17" s="11" t="s">
        <v>607</v>
      </c>
      <c r="E17" s="3" t="s">
        <v>114</v>
      </c>
      <c r="F17" s="3" t="s">
        <v>169</v>
      </c>
      <c r="G17" s="11" t="s">
        <v>120</v>
      </c>
      <c r="H17" s="11" t="s">
        <v>116</v>
      </c>
      <c r="I17" s="3" t="s">
        <v>608</v>
      </c>
      <c r="J17" s="3" t="s">
        <v>645</v>
      </c>
      <c r="K17" s="3" t="s">
        <v>646</v>
      </c>
      <c r="L17" s="11">
        <v>200</v>
      </c>
      <c r="M17" s="11" t="s">
        <v>172</v>
      </c>
      <c r="N17" s="14" t="s">
        <v>117</v>
      </c>
      <c r="O17" s="11" t="s">
        <v>121</v>
      </c>
    </row>
    <row r="18" spans="1:15" ht="26.4" x14ac:dyDescent="0.3">
      <c r="A18" s="11">
        <v>6</v>
      </c>
      <c r="B18" s="3" t="s">
        <v>166</v>
      </c>
      <c r="C18" s="3" t="s">
        <v>168</v>
      </c>
      <c r="D18" s="11" t="s">
        <v>611</v>
      </c>
      <c r="E18" s="3" t="s">
        <v>228</v>
      </c>
      <c r="F18" s="3" t="s">
        <v>169</v>
      </c>
      <c r="G18" s="11" t="s">
        <v>120</v>
      </c>
      <c r="H18" s="11" t="s">
        <v>116</v>
      </c>
      <c r="I18" s="3" t="s">
        <v>647</v>
      </c>
      <c r="J18" s="3" t="s">
        <v>648</v>
      </c>
      <c r="K18" s="3" t="s">
        <v>649</v>
      </c>
      <c r="L18" s="11">
        <v>200</v>
      </c>
      <c r="M18" s="11" t="s">
        <v>172</v>
      </c>
      <c r="N18" s="14" t="s">
        <v>117</v>
      </c>
      <c r="O18" s="11" t="s">
        <v>121</v>
      </c>
    </row>
    <row r="19" spans="1:15" ht="39.6" x14ac:dyDescent="0.3">
      <c r="A19" s="11">
        <v>6</v>
      </c>
      <c r="B19" s="3" t="s">
        <v>166</v>
      </c>
      <c r="C19" s="3" t="s">
        <v>168</v>
      </c>
      <c r="D19" s="11" t="s">
        <v>123</v>
      </c>
      <c r="E19" s="3" t="s">
        <v>594</v>
      </c>
      <c r="F19" s="3" t="s">
        <v>615</v>
      </c>
      <c r="G19" s="11" t="s">
        <v>123</v>
      </c>
      <c r="H19" s="11"/>
      <c r="I19" s="3" t="s">
        <v>616</v>
      </c>
      <c r="J19" s="3"/>
      <c r="K19" s="3" t="s">
        <v>650</v>
      </c>
      <c r="L19" s="11">
        <v>200</v>
      </c>
      <c r="M19" s="11" t="s">
        <v>172</v>
      </c>
      <c r="N19" s="14" t="s">
        <v>117</v>
      </c>
      <c r="O19" s="11" t="s">
        <v>121</v>
      </c>
    </row>
    <row r="20" spans="1:15" ht="52.8" x14ac:dyDescent="0.3">
      <c r="A20" s="11">
        <v>7</v>
      </c>
      <c r="B20" s="3" t="s">
        <v>176</v>
      </c>
      <c r="C20" s="3" t="s">
        <v>179</v>
      </c>
      <c r="D20" s="11" t="s">
        <v>607</v>
      </c>
      <c r="E20" s="3" t="s">
        <v>114</v>
      </c>
      <c r="F20" s="3" t="s">
        <v>180</v>
      </c>
      <c r="G20" s="11" t="s">
        <v>120</v>
      </c>
      <c r="H20" s="11" t="s">
        <v>116</v>
      </c>
      <c r="I20" s="3" t="s">
        <v>608</v>
      </c>
      <c r="J20" s="3" t="s">
        <v>651</v>
      </c>
      <c r="K20" s="3" t="s">
        <v>652</v>
      </c>
      <c r="L20" s="11">
        <v>200</v>
      </c>
      <c r="M20" s="11" t="s">
        <v>172</v>
      </c>
      <c r="N20" s="14" t="s">
        <v>117</v>
      </c>
      <c r="O20" s="11" t="s">
        <v>121</v>
      </c>
    </row>
    <row r="21" spans="1:15" ht="52.8" x14ac:dyDescent="0.3">
      <c r="A21" s="11">
        <v>7</v>
      </c>
      <c r="B21" s="3" t="s">
        <v>176</v>
      </c>
      <c r="C21" s="3" t="s">
        <v>179</v>
      </c>
      <c r="D21" s="11" t="s">
        <v>611</v>
      </c>
      <c r="E21" s="3" t="s">
        <v>532</v>
      </c>
      <c r="F21" s="3" t="s">
        <v>653</v>
      </c>
      <c r="G21" s="11" t="s">
        <v>120</v>
      </c>
      <c r="H21" s="11" t="s">
        <v>116</v>
      </c>
      <c r="I21" s="3" t="s">
        <v>654</v>
      </c>
      <c r="J21" s="3" t="s">
        <v>655</v>
      </c>
      <c r="K21" s="3" t="s">
        <v>656</v>
      </c>
      <c r="L21" s="11">
        <v>200</v>
      </c>
      <c r="M21" s="11" t="s">
        <v>172</v>
      </c>
      <c r="N21" s="14" t="s">
        <v>117</v>
      </c>
      <c r="O21" s="11" t="s">
        <v>121</v>
      </c>
    </row>
    <row r="22" spans="1:15" ht="52.8" x14ac:dyDescent="0.3">
      <c r="A22" s="11">
        <v>7</v>
      </c>
      <c r="B22" s="3" t="s">
        <v>176</v>
      </c>
      <c r="C22" s="3" t="s">
        <v>179</v>
      </c>
      <c r="D22" s="11" t="s">
        <v>123</v>
      </c>
      <c r="E22" s="3" t="s">
        <v>594</v>
      </c>
      <c r="F22" s="3" t="s">
        <v>615</v>
      </c>
      <c r="G22" s="11" t="s">
        <v>123</v>
      </c>
      <c r="H22" s="11"/>
      <c r="I22" s="3" t="s">
        <v>616</v>
      </c>
      <c r="J22" s="3"/>
      <c r="K22" s="3" t="s">
        <v>657</v>
      </c>
      <c r="L22" s="11">
        <v>200</v>
      </c>
      <c r="M22" s="11" t="s">
        <v>172</v>
      </c>
      <c r="N22" s="14" t="s">
        <v>117</v>
      </c>
      <c r="O22" s="11" t="s">
        <v>121</v>
      </c>
    </row>
    <row r="23" spans="1:15" ht="39.6" x14ac:dyDescent="0.3">
      <c r="A23" s="11">
        <v>8</v>
      </c>
      <c r="B23" s="3" t="s">
        <v>186</v>
      </c>
      <c r="C23" s="3" t="s">
        <v>188</v>
      </c>
      <c r="D23" s="11" t="s">
        <v>607</v>
      </c>
      <c r="E23" s="3" t="s">
        <v>114</v>
      </c>
      <c r="F23" s="3" t="s">
        <v>189</v>
      </c>
      <c r="G23" s="11" t="s">
        <v>120</v>
      </c>
      <c r="H23" s="11" t="s">
        <v>116</v>
      </c>
      <c r="I23" s="3" t="s">
        <v>608</v>
      </c>
      <c r="J23" s="3" t="s">
        <v>658</v>
      </c>
      <c r="K23" s="3" t="s">
        <v>659</v>
      </c>
      <c r="L23" s="11">
        <v>200</v>
      </c>
      <c r="M23" s="11" t="s">
        <v>172</v>
      </c>
      <c r="N23" s="14" t="s">
        <v>117</v>
      </c>
      <c r="O23" s="11" t="s">
        <v>121</v>
      </c>
    </row>
    <row r="24" spans="1:15" ht="39.6" x14ac:dyDescent="0.3">
      <c r="A24" s="11">
        <v>8</v>
      </c>
      <c r="B24" s="3" t="s">
        <v>186</v>
      </c>
      <c r="C24" s="3" t="s">
        <v>188</v>
      </c>
      <c r="D24" s="11" t="s">
        <v>611</v>
      </c>
      <c r="E24" s="3" t="s">
        <v>532</v>
      </c>
      <c r="F24" s="3" t="s">
        <v>660</v>
      </c>
      <c r="G24" s="11" t="s">
        <v>120</v>
      </c>
      <c r="H24" s="11" t="s">
        <v>230</v>
      </c>
      <c r="I24" s="3" t="s">
        <v>661</v>
      </c>
      <c r="J24" s="3" t="s">
        <v>662</v>
      </c>
      <c r="K24" s="3" t="s">
        <v>663</v>
      </c>
      <c r="L24" s="11">
        <v>200</v>
      </c>
      <c r="M24" s="11" t="s">
        <v>172</v>
      </c>
      <c r="N24" s="14" t="s">
        <v>117</v>
      </c>
      <c r="O24" s="11" t="s">
        <v>121</v>
      </c>
    </row>
    <row r="25" spans="1:15" ht="39.6" x14ac:dyDescent="0.3">
      <c r="A25" s="11">
        <v>8</v>
      </c>
      <c r="B25" s="3" t="s">
        <v>186</v>
      </c>
      <c r="C25" s="3" t="s">
        <v>188</v>
      </c>
      <c r="D25" s="11" t="s">
        <v>123</v>
      </c>
      <c r="E25" s="3" t="s">
        <v>594</v>
      </c>
      <c r="F25" s="3" t="s">
        <v>615</v>
      </c>
      <c r="G25" s="11" t="s">
        <v>123</v>
      </c>
      <c r="H25" s="11"/>
      <c r="I25" s="3" t="s">
        <v>616</v>
      </c>
      <c r="J25" s="3"/>
      <c r="K25" s="3" t="s">
        <v>664</v>
      </c>
      <c r="L25" s="11">
        <v>200</v>
      </c>
      <c r="M25" s="11" t="s">
        <v>172</v>
      </c>
      <c r="N25" s="14" t="s">
        <v>117</v>
      </c>
      <c r="O25" s="11" t="s">
        <v>121</v>
      </c>
    </row>
    <row r="26" spans="1:15" ht="52.8" x14ac:dyDescent="0.3">
      <c r="A26" s="11">
        <v>9</v>
      </c>
      <c r="B26" s="3" t="s">
        <v>195</v>
      </c>
      <c r="C26" s="3" t="s">
        <v>198</v>
      </c>
      <c r="D26" s="11" t="s">
        <v>607</v>
      </c>
      <c r="E26" s="3" t="s">
        <v>114</v>
      </c>
      <c r="F26" s="3" t="s">
        <v>199</v>
      </c>
      <c r="G26" s="11" t="s">
        <v>120</v>
      </c>
      <c r="H26" s="11" t="s">
        <v>116</v>
      </c>
      <c r="I26" s="3" t="s">
        <v>608</v>
      </c>
      <c r="J26" s="3" t="s">
        <v>665</v>
      </c>
      <c r="K26" s="3" t="s">
        <v>666</v>
      </c>
      <c r="L26" s="11">
        <v>200</v>
      </c>
      <c r="M26" s="11" t="s">
        <v>172</v>
      </c>
      <c r="N26" s="14" t="s">
        <v>117</v>
      </c>
      <c r="O26" s="11" t="s">
        <v>121</v>
      </c>
    </row>
    <row r="27" spans="1:15" ht="52.8" x14ac:dyDescent="0.3">
      <c r="A27" s="11">
        <v>9</v>
      </c>
      <c r="B27" s="3" t="s">
        <v>195</v>
      </c>
      <c r="C27" s="3" t="s">
        <v>198</v>
      </c>
      <c r="D27" s="11" t="s">
        <v>611</v>
      </c>
      <c r="E27" s="3" t="s">
        <v>532</v>
      </c>
      <c r="F27" s="3" t="s">
        <v>667</v>
      </c>
      <c r="G27" s="11" t="s">
        <v>120</v>
      </c>
      <c r="H27" s="11" t="s">
        <v>230</v>
      </c>
      <c r="I27" s="3" t="s">
        <v>668</v>
      </c>
      <c r="J27" s="3" t="s">
        <v>669</v>
      </c>
      <c r="K27" s="3" t="s">
        <v>670</v>
      </c>
      <c r="L27" s="11">
        <v>200</v>
      </c>
      <c r="M27" s="11" t="s">
        <v>172</v>
      </c>
      <c r="N27" s="14" t="s">
        <v>117</v>
      </c>
      <c r="O27" s="11" t="s">
        <v>121</v>
      </c>
    </row>
    <row r="28" spans="1:15" ht="52.8" x14ac:dyDescent="0.3">
      <c r="A28" s="11">
        <v>9</v>
      </c>
      <c r="B28" s="3" t="s">
        <v>195</v>
      </c>
      <c r="C28" s="3" t="s">
        <v>198</v>
      </c>
      <c r="D28" s="11" t="s">
        <v>123</v>
      </c>
      <c r="E28" s="3" t="s">
        <v>594</v>
      </c>
      <c r="F28" s="3" t="s">
        <v>615</v>
      </c>
      <c r="G28" s="11" t="s">
        <v>123</v>
      </c>
      <c r="H28" s="11"/>
      <c r="I28" s="3" t="s">
        <v>616</v>
      </c>
      <c r="J28" s="3"/>
      <c r="K28" s="3" t="s">
        <v>671</v>
      </c>
      <c r="L28" s="11">
        <v>200</v>
      </c>
      <c r="M28" s="11" t="s">
        <v>172</v>
      </c>
      <c r="N28" s="14" t="s">
        <v>117</v>
      </c>
      <c r="O28" s="11" t="s">
        <v>121</v>
      </c>
    </row>
    <row r="29" spans="1:15" ht="52.8" x14ac:dyDescent="0.3">
      <c r="A29" s="11">
        <v>10</v>
      </c>
      <c r="B29" s="3" t="s">
        <v>205</v>
      </c>
      <c r="C29" s="3" t="s">
        <v>207</v>
      </c>
      <c r="D29" s="11" t="s">
        <v>607</v>
      </c>
      <c r="E29" s="3" t="s">
        <v>114</v>
      </c>
      <c r="F29" s="3" t="s">
        <v>208</v>
      </c>
      <c r="G29" s="11" t="s">
        <v>120</v>
      </c>
      <c r="H29" s="11" t="s">
        <v>116</v>
      </c>
      <c r="I29" s="3" t="s">
        <v>608</v>
      </c>
      <c r="J29" s="3" t="s">
        <v>672</v>
      </c>
      <c r="K29" s="3" t="s">
        <v>673</v>
      </c>
      <c r="L29" s="11">
        <v>200</v>
      </c>
      <c r="M29" s="11" t="s">
        <v>172</v>
      </c>
      <c r="N29" s="14" t="s">
        <v>117</v>
      </c>
      <c r="O29" s="11" t="s">
        <v>121</v>
      </c>
    </row>
    <row r="30" spans="1:15" ht="39.6" x14ac:dyDescent="0.3">
      <c r="A30" s="11">
        <v>10</v>
      </c>
      <c r="B30" s="3" t="s">
        <v>205</v>
      </c>
      <c r="C30" s="3" t="s">
        <v>207</v>
      </c>
      <c r="D30" s="11" t="s">
        <v>611</v>
      </c>
      <c r="E30" s="3" t="s">
        <v>532</v>
      </c>
      <c r="F30" s="3" t="s">
        <v>674</v>
      </c>
      <c r="G30" s="11" t="s">
        <v>120</v>
      </c>
      <c r="H30" s="11" t="s">
        <v>230</v>
      </c>
      <c r="I30" s="3" t="s">
        <v>675</v>
      </c>
      <c r="J30" s="3" t="s">
        <v>676</v>
      </c>
      <c r="K30" s="3" t="s">
        <v>677</v>
      </c>
      <c r="L30" s="11">
        <v>200</v>
      </c>
      <c r="M30" s="11" t="s">
        <v>172</v>
      </c>
      <c r="N30" s="14" t="s">
        <v>117</v>
      </c>
      <c r="O30" s="11" t="s">
        <v>121</v>
      </c>
    </row>
    <row r="31" spans="1:15" ht="39.6" x14ac:dyDescent="0.3">
      <c r="A31" s="11">
        <v>10</v>
      </c>
      <c r="B31" s="3" t="s">
        <v>205</v>
      </c>
      <c r="C31" s="3" t="s">
        <v>207</v>
      </c>
      <c r="D31" s="11" t="s">
        <v>123</v>
      </c>
      <c r="E31" s="3" t="s">
        <v>594</v>
      </c>
      <c r="F31" s="3" t="s">
        <v>615</v>
      </c>
      <c r="G31" s="11" t="s">
        <v>123</v>
      </c>
      <c r="H31" s="11"/>
      <c r="I31" s="3" t="s">
        <v>616</v>
      </c>
      <c r="J31" s="3"/>
      <c r="K31" s="3" t="s">
        <v>678</v>
      </c>
      <c r="L31" s="11">
        <v>200</v>
      </c>
      <c r="M31" s="11" t="s">
        <v>172</v>
      </c>
      <c r="N31" s="14" t="s">
        <v>117</v>
      </c>
      <c r="O31" s="11" t="s">
        <v>121</v>
      </c>
    </row>
    <row r="32" spans="1:15" ht="66" x14ac:dyDescent="0.3">
      <c r="A32" s="11">
        <v>11</v>
      </c>
      <c r="B32" s="3" t="s">
        <v>214</v>
      </c>
      <c r="C32" s="3" t="s">
        <v>217</v>
      </c>
      <c r="D32" s="11" t="s">
        <v>607</v>
      </c>
      <c r="E32" s="3" t="s">
        <v>114</v>
      </c>
      <c r="F32" s="3" t="s">
        <v>218</v>
      </c>
      <c r="G32" s="11" t="s">
        <v>120</v>
      </c>
      <c r="H32" s="11" t="s">
        <v>116</v>
      </c>
      <c r="I32" s="3" t="s">
        <v>608</v>
      </c>
      <c r="J32" s="3" t="s">
        <v>679</v>
      </c>
      <c r="K32" s="3" t="s">
        <v>680</v>
      </c>
      <c r="L32" s="11">
        <v>200</v>
      </c>
      <c r="M32" s="11" t="s">
        <v>172</v>
      </c>
      <c r="N32" s="14" t="s">
        <v>117</v>
      </c>
      <c r="O32" s="11" t="s">
        <v>121</v>
      </c>
    </row>
    <row r="33" spans="1:15" ht="66" x14ac:dyDescent="0.3">
      <c r="A33" s="11">
        <v>11</v>
      </c>
      <c r="B33" s="3" t="s">
        <v>214</v>
      </c>
      <c r="C33" s="3" t="s">
        <v>217</v>
      </c>
      <c r="D33" s="11" t="s">
        <v>611</v>
      </c>
      <c r="E33" s="3" t="s">
        <v>532</v>
      </c>
      <c r="F33" s="3" t="s">
        <v>681</v>
      </c>
      <c r="G33" s="11" t="s">
        <v>120</v>
      </c>
      <c r="H33" s="11" t="s">
        <v>116</v>
      </c>
      <c r="I33" s="3" t="s">
        <v>682</v>
      </c>
      <c r="J33" s="3" t="s">
        <v>683</v>
      </c>
      <c r="K33" s="3" t="s">
        <v>684</v>
      </c>
      <c r="L33" s="11">
        <v>200</v>
      </c>
      <c r="M33" s="11" t="s">
        <v>172</v>
      </c>
      <c r="N33" s="14" t="s">
        <v>117</v>
      </c>
      <c r="O33" s="11" t="s">
        <v>121</v>
      </c>
    </row>
    <row r="34" spans="1:15" ht="66" x14ac:dyDescent="0.3">
      <c r="A34" s="11">
        <v>11</v>
      </c>
      <c r="B34" s="3" t="s">
        <v>214</v>
      </c>
      <c r="C34" s="3" t="s">
        <v>217</v>
      </c>
      <c r="D34" s="11" t="s">
        <v>123</v>
      </c>
      <c r="E34" s="3" t="s">
        <v>594</v>
      </c>
      <c r="F34" s="3" t="s">
        <v>615</v>
      </c>
      <c r="G34" s="11" t="s">
        <v>123</v>
      </c>
      <c r="H34" s="11"/>
      <c r="I34" s="3" t="s">
        <v>616</v>
      </c>
      <c r="J34" s="3"/>
      <c r="K34" s="3" t="s">
        <v>685</v>
      </c>
      <c r="L34" s="11">
        <v>200</v>
      </c>
      <c r="M34" s="11" t="s">
        <v>172</v>
      </c>
      <c r="N34" s="14" t="s">
        <v>117</v>
      </c>
      <c r="O34" s="11" t="s">
        <v>121</v>
      </c>
    </row>
    <row r="35" spans="1:15" ht="52.8" x14ac:dyDescent="0.3">
      <c r="A35" s="11">
        <v>12</v>
      </c>
      <c r="B35" s="3" t="s">
        <v>224</v>
      </c>
      <c r="C35" s="3" t="s">
        <v>227</v>
      </c>
      <c r="D35" s="11" t="s">
        <v>607</v>
      </c>
      <c r="E35" s="3" t="s">
        <v>228</v>
      </c>
      <c r="F35" s="3" t="s">
        <v>229</v>
      </c>
      <c r="G35" s="11" t="s">
        <v>120</v>
      </c>
      <c r="H35" s="11" t="s">
        <v>230</v>
      </c>
      <c r="I35" s="3"/>
      <c r="J35" s="3"/>
      <c r="K35" s="3" t="s">
        <v>686</v>
      </c>
      <c r="L35" s="11">
        <v>200</v>
      </c>
      <c r="M35" s="11" t="s">
        <v>172</v>
      </c>
      <c r="N35" s="14" t="s">
        <v>117</v>
      </c>
      <c r="O35" s="11" t="s">
        <v>121</v>
      </c>
    </row>
    <row r="36" spans="1:15" ht="52.8" x14ac:dyDescent="0.3">
      <c r="A36" s="11">
        <v>12</v>
      </c>
      <c r="B36" s="3" t="s">
        <v>224</v>
      </c>
      <c r="C36" s="3" t="s">
        <v>227</v>
      </c>
      <c r="D36" s="11" t="s">
        <v>611</v>
      </c>
      <c r="E36" s="3" t="s">
        <v>532</v>
      </c>
      <c r="F36" s="3" t="s">
        <v>687</v>
      </c>
      <c r="G36" s="11" t="s">
        <v>120</v>
      </c>
      <c r="H36" s="11" t="s">
        <v>230</v>
      </c>
      <c r="I36" s="3" t="s">
        <v>688</v>
      </c>
      <c r="J36" s="3" t="s">
        <v>689</v>
      </c>
      <c r="K36" s="3" t="s">
        <v>690</v>
      </c>
      <c r="L36" s="11">
        <v>200</v>
      </c>
      <c r="M36" s="11" t="s">
        <v>172</v>
      </c>
      <c r="N36" s="14" t="s">
        <v>117</v>
      </c>
      <c r="O36" s="11" t="s">
        <v>121</v>
      </c>
    </row>
    <row r="37" spans="1:15" ht="52.8" x14ac:dyDescent="0.3">
      <c r="A37" s="11">
        <v>12</v>
      </c>
      <c r="B37" s="3" t="s">
        <v>224</v>
      </c>
      <c r="C37" s="3" t="s">
        <v>227</v>
      </c>
      <c r="D37" s="11" t="s">
        <v>123</v>
      </c>
      <c r="E37" s="3" t="s">
        <v>594</v>
      </c>
      <c r="F37" s="3" t="s">
        <v>615</v>
      </c>
      <c r="G37" s="11" t="s">
        <v>123</v>
      </c>
      <c r="H37" s="11"/>
      <c r="I37" s="3" t="s">
        <v>616</v>
      </c>
      <c r="J37" s="3"/>
      <c r="K37" s="3" t="s">
        <v>691</v>
      </c>
      <c r="L37" s="11">
        <v>200</v>
      </c>
      <c r="M37" s="11" t="s">
        <v>172</v>
      </c>
      <c r="N37" s="14" t="s">
        <v>117</v>
      </c>
      <c r="O37" s="11" t="s">
        <v>121</v>
      </c>
    </row>
    <row r="38" spans="1:15" ht="79.2" x14ac:dyDescent="0.3">
      <c r="A38" s="11">
        <v>14</v>
      </c>
      <c r="B38" s="3" t="s">
        <v>245</v>
      </c>
      <c r="C38" s="3" t="s">
        <v>248</v>
      </c>
      <c r="D38" s="11" t="s">
        <v>607</v>
      </c>
      <c r="E38" s="3" t="s">
        <v>114</v>
      </c>
      <c r="F38" s="3" t="s">
        <v>249</v>
      </c>
      <c r="G38" s="11" t="s">
        <v>120</v>
      </c>
      <c r="H38" s="11" t="s">
        <v>116</v>
      </c>
      <c r="I38" s="3" t="s">
        <v>608</v>
      </c>
      <c r="J38" s="3" t="s">
        <v>692</v>
      </c>
      <c r="K38" s="3" t="s">
        <v>693</v>
      </c>
      <c r="L38" s="11">
        <v>200</v>
      </c>
      <c r="M38" s="11" t="s">
        <v>172</v>
      </c>
      <c r="N38" s="14" t="s">
        <v>117</v>
      </c>
      <c r="O38" s="11" t="s">
        <v>121</v>
      </c>
    </row>
    <row r="39" spans="1:15" ht="79.2" x14ac:dyDescent="0.3">
      <c r="A39" s="11">
        <v>14</v>
      </c>
      <c r="B39" s="3" t="s">
        <v>245</v>
      </c>
      <c r="C39" s="3" t="s">
        <v>248</v>
      </c>
      <c r="D39" s="11" t="s">
        <v>611</v>
      </c>
      <c r="E39" s="3" t="s">
        <v>532</v>
      </c>
      <c r="F39" s="3" t="s">
        <v>249</v>
      </c>
      <c r="G39" s="11" t="s">
        <v>120</v>
      </c>
      <c r="H39" s="11" t="s">
        <v>116</v>
      </c>
      <c r="I39" s="3" t="s">
        <v>694</v>
      </c>
      <c r="J39" s="3" t="s">
        <v>695</v>
      </c>
      <c r="K39" s="3" t="s">
        <v>696</v>
      </c>
      <c r="L39" s="11">
        <v>200</v>
      </c>
      <c r="M39" s="11" t="s">
        <v>172</v>
      </c>
      <c r="N39" s="14" t="s">
        <v>117</v>
      </c>
      <c r="O39" s="11" t="s">
        <v>121</v>
      </c>
    </row>
    <row r="40" spans="1:15" ht="79.2" x14ac:dyDescent="0.3">
      <c r="A40" s="11">
        <v>14</v>
      </c>
      <c r="B40" s="3" t="s">
        <v>245</v>
      </c>
      <c r="C40" s="3" t="s">
        <v>248</v>
      </c>
      <c r="D40" s="11" t="s">
        <v>123</v>
      </c>
      <c r="E40" s="3" t="s">
        <v>594</v>
      </c>
      <c r="F40" s="3" t="s">
        <v>615</v>
      </c>
      <c r="G40" s="11" t="s">
        <v>123</v>
      </c>
      <c r="H40" s="11"/>
      <c r="I40" s="3" t="s">
        <v>616</v>
      </c>
      <c r="J40" s="3"/>
      <c r="K40" s="3" t="s">
        <v>697</v>
      </c>
      <c r="L40" s="11">
        <v>200</v>
      </c>
      <c r="M40" s="11" t="s">
        <v>172</v>
      </c>
      <c r="N40" s="14" t="s">
        <v>117</v>
      </c>
      <c r="O40" s="11" t="s">
        <v>121</v>
      </c>
    </row>
    <row r="41" spans="1:15" ht="39.6" x14ac:dyDescent="0.3">
      <c r="A41" s="11">
        <v>15</v>
      </c>
      <c r="B41" s="3" t="s">
        <v>255</v>
      </c>
      <c r="C41" s="3" t="s">
        <v>258</v>
      </c>
      <c r="D41" s="11" t="s">
        <v>607</v>
      </c>
      <c r="E41" s="3" t="s">
        <v>114</v>
      </c>
      <c r="F41" s="3" t="s">
        <v>259</v>
      </c>
      <c r="G41" s="11" t="s">
        <v>120</v>
      </c>
      <c r="H41" s="11" t="s">
        <v>116</v>
      </c>
      <c r="I41" s="3" t="s">
        <v>608</v>
      </c>
      <c r="J41" s="3" t="s">
        <v>698</v>
      </c>
      <c r="K41" s="3" t="s">
        <v>699</v>
      </c>
      <c r="L41" s="11">
        <v>200</v>
      </c>
      <c r="M41" s="11" t="s">
        <v>172</v>
      </c>
      <c r="N41" s="14" t="s">
        <v>117</v>
      </c>
      <c r="O41" s="11" t="s">
        <v>121</v>
      </c>
    </row>
    <row r="42" spans="1:15" ht="26.4" x14ac:dyDescent="0.3">
      <c r="A42" s="11">
        <v>15</v>
      </c>
      <c r="B42" s="3" t="s">
        <v>255</v>
      </c>
      <c r="C42" s="3" t="s">
        <v>258</v>
      </c>
      <c r="D42" s="11" t="s">
        <v>611</v>
      </c>
      <c r="E42" s="3" t="s">
        <v>228</v>
      </c>
      <c r="F42" s="3" t="s">
        <v>700</v>
      </c>
      <c r="G42" s="11" t="s">
        <v>120</v>
      </c>
      <c r="H42" s="11" t="s">
        <v>116</v>
      </c>
      <c r="I42" s="3" t="s">
        <v>701</v>
      </c>
      <c r="J42" s="3" t="s">
        <v>702</v>
      </c>
      <c r="K42" s="3" t="s">
        <v>703</v>
      </c>
      <c r="L42" s="11">
        <v>200</v>
      </c>
      <c r="M42" s="11" t="s">
        <v>172</v>
      </c>
      <c r="N42" s="14" t="s">
        <v>117</v>
      </c>
      <c r="O42" s="11" t="s">
        <v>121</v>
      </c>
    </row>
    <row r="43" spans="1:15" ht="39.6" x14ac:dyDescent="0.3">
      <c r="A43" s="11">
        <v>15</v>
      </c>
      <c r="B43" s="3" t="s">
        <v>255</v>
      </c>
      <c r="C43" s="3" t="s">
        <v>258</v>
      </c>
      <c r="D43" s="11" t="s">
        <v>123</v>
      </c>
      <c r="E43" s="3" t="s">
        <v>594</v>
      </c>
      <c r="F43" s="3" t="s">
        <v>615</v>
      </c>
      <c r="G43" s="11" t="s">
        <v>123</v>
      </c>
      <c r="H43" s="11"/>
      <c r="I43" s="3" t="s">
        <v>616</v>
      </c>
      <c r="J43" s="3"/>
      <c r="K43" s="3" t="s">
        <v>704</v>
      </c>
      <c r="L43" s="11">
        <v>200</v>
      </c>
      <c r="M43" s="11" t="s">
        <v>172</v>
      </c>
      <c r="N43" s="14" t="s">
        <v>117</v>
      </c>
      <c r="O43" s="11" t="s">
        <v>121</v>
      </c>
    </row>
    <row r="44" spans="1:15" ht="66" x14ac:dyDescent="0.3">
      <c r="A44" s="11">
        <v>16</v>
      </c>
      <c r="B44" s="3" t="s">
        <v>265</v>
      </c>
      <c r="C44" s="3" t="s">
        <v>268</v>
      </c>
      <c r="D44" s="11" t="s">
        <v>607</v>
      </c>
      <c r="E44" s="3" t="s">
        <v>114</v>
      </c>
      <c r="F44" s="3" t="s">
        <v>269</v>
      </c>
      <c r="G44" s="11" t="s">
        <v>120</v>
      </c>
      <c r="H44" s="11" t="s">
        <v>116</v>
      </c>
      <c r="I44" s="3" t="s">
        <v>608</v>
      </c>
      <c r="J44" s="3" t="s">
        <v>705</v>
      </c>
      <c r="K44" s="3" t="s">
        <v>706</v>
      </c>
      <c r="L44" s="11">
        <v>200</v>
      </c>
      <c r="M44" s="11" t="s">
        <v>172</v>
      </c>
      <c r="N44" s="14" t="s">
        <v>117</v>
      </c>
      <c r="O44" s="11" t="s">
        <v>121</v>
      </c>
    </row>
    <row r="45" spans="1:15" ht="66" x14ac:dyDescent="0.3">
      <c r="A45" s="11">
        <v>16</v>
      </c>
      <c r="B45" s="3" t="s">
        <v>265</v>
      </c>
      <c r="C45" s="3" t="s">
        <v>268</v>
      </c>
      <c r="D45" s="11" t="s">
        <v>611</v>
      </c>
      <c r="E45" s="3" t="s">
        <v>532</v>
      </c>
      <c r="F45" s="3" t="s">
        <v>707</v>
      </c>
      <c r="G45" s="11" t="s">
        <v>120</v>
      </c>
      <c r="H45" s="11" t="s">
        <v>230</v>
      </c>
      <c r="I45" s="3" t="s">
        <v>708</v>
      </c>
      <c r="J45" s="3" t="s">
        <v>709</v>
      </c>
      <c r="K45" s="3" t="s">
        <v>710</v>
      </c>
      <c r="L45" s="11">
        <v>200</v>
      </c>
      <c r="M45" s="11" t="s">
        <v>172</v>
      </c>
      <c r="N45" s="14" t="s">
        <v>117</v>
      </c>
      <c r="O45" s="11" t="s">
        <v>121</v>
      </c>
    </row>
    <row r="46" spans="1:15" ht="66" x14ac:dyDescent="0.3">
      <c r="A46" s="11">
        <v>16</v>
      </c>
      <c r="B46" s="3" t="s">
        <v>265</v>
      </c>
      <c r="C46" s="3" t="s">
        <v>268</v>
      </c>
      <c r="D46" s="11" t="s">
        <v>123</v>
      </c>
      <c r="E46" s="3" t="s">
        <v>594</v>
      </c>
      <c r="F46" s="3" t="s">
        <v>615</v>
      </c>
      <c r="G46" s="11" t="s">
        <v>123</v>
      </c>
      <c r="H46" s="11"/>
      <c r="I46" s="3" t="s">
        <v>616</v>
      </c>
      <c r="J46" s="3"/>
      <c r="K46" s="3" t="s">
        <v>711</v>
      </c>
      <c r="L46" s="11">
        <v>200</v>
      </c>
      <c r="M46" s="11" t="s">
        <v>172</v>
      </c>
      <c r="N46" s="14" t="s">
        <v>117</v>
      </c>
      <c r="O46" s="11" t="s">
        <v>121</v>
      </c>
    </row>
    <row r="47" spans="1:15" ht="79.2" x14ac:dyDescent="0.3">
      <c r="A47" s="11">
        <v>17</v>
      </c>
      <c r="B47" s="3" t="s">
        <v>275</v>
      </c>
      <c r="C47" s="3" t="s">
        <v>278</v>
      </c>
      <c r="D47" s="11" t="s">
        <v>607</v>
      </c>
      <c r="E47" s="3" t="s">
        <v>228</v>
      </c>
      <c r="F47" s="3" t="s">
        <v>279</v>
      </c>
      <c r="G47" s="11" t="s">
        <v>120</v>
      </c>
      <c r="H47" s="11" t="s">
        <v>116</v>
      </c>
      <c r="I47" s="3" t="s">
        <v>712</v>
      </c>
      <c r="J47" s="3" t="s">
        <v>713</v>
      </c>
      <c r="K47" s="3" t="s">
        <v>714</v>
      </c>
      <c r="L47" s="11">
        <v>200</v>
      </c>
      <c r="M47" s="11" t="s">
        <v>172</v>
      </c>
      <c r="N47" s="14" t="s">
        <v>117</v>
      </c>
      <c r="O47" s="11" t="s">
        <v>121</v>
      </c>
    </row>
    <row r="48" spans="1:15" ht="79.2" x14ac:dyDescent="0.3">
      <c r="A48" s="11">
        <v>17</v>
      </c>
      <c r="B48" s="3" t="s">
        <v>275</v>
      </c>
      <c r="C48" s="3" t="s">
        <v>278</v>
      </c>
      <c r="D48" s="11" t="s">
        <v>611</v>
      </c>
      <c r="E48" s="3" t="s">
        <v>532</v>
      </c>
      <c r="F48" s="3" t="s">
        <v>715</v>
      </c>
      <c r="G48" s="11" t="s">
        <v>120</v>
      </c>
      <c r="H48" s="11" t="s">
        <v>230</v>
      </c>
      <c r="I48" s="3" t="s">
        <v>716</v>
      </c>
      <c r="J48" s="3" t="s">
        <v>717</v>
      </c>
      <c r="K48" s="3" t="s">
        <v>718</v>
      </c>
      <c r="L48" s="11">
        <v>200</v>
      </c>
      <c r="M48" s="11" t="s">
        <v>172</v>
      </c>
      <c r="N48" s="14" t="s">
        <v>117</v>
      </c>
      <c r="O48" s="11" t="s">
        <v>121</v>
      </c>
    </row>
    <row r="49" spans="1:15" ht="79.2" x14ac:dyDescent="0.3">
      <c r="A49" s="11">
        <v>17</v>
      </c>
      <c r="B49" s="3" t="s">
        <v>275</v>
      </c>
      <c r="C49" s="3" t="s">
        <v>278</v>
      </c>
      <c r="D49" s="11" t="s">
        <v>123</v>
      </c>
      <c r="E49" s="3" t="s">
        <v>594</v>
      </c>
      <c r="F49" s="3" t="s">
        <v>615</v>
      </c>
      <c r="G49" s="11" t="s">
        <v>123</v>
      </c>
      <c r="H49" s="11"/>
      <c r="I49" s="3" t="s">
        <v>616</v>
      </c>
      <c r="J49" s="3"/>
      <c r="K49" s="3" t="s">
        <v>719</v>
      </c>
      <c r="L49" s="11">
        <v>200</v>
      </c>
      <c r="M49" s="11" t="s">
        <v>172</v>
      </c>
      <c r="N49" s="14" t="s">
        <v>117</v>
      </c>
      <c r="O49" s="11" t="s">
        <v>121</v>
      </c>
    </row>
    <row r="50" spans="1:15" ht="39.6" x14ac:dyDescent="0.3">
      <c r="A50" s="11">
        <v>18</v>
      </c>
      <c r="B50" s="3" t="s">
        <v>286</v>
      </c>
      <c r="C50" s="3" t="s">
        <v>289</v>
      </c>
      <c r="D50" s="11" t="s">
        <v>607</v>
      </c>
      <c r="E50" s="3" t="s">
        <v>114</v>
      </c>
      <c r="F50" s="3" t="s">
        <v>290</v>
      </c>
      <c r="G50" s="11" t="s">
        <v>120</v>
      </c>
      <c r="H50" s="11" t="s">
        <v>116</v>
      </c>
      <c r="I50" s="3" t="s">
        <v>608</v>
      </c>
      <c r="J50" s="3" t="s">
        <v>720</v>
      </c>
      <c r="K50" s="3" t="s">
        <v>721</v>
      </c>
      <c r="L50" s="11">
        <v>200</v>
      </c>
      <c r="M50" s="11" t="s">
        <v>172</v>
      </c>
      <c r="N50" s="14" t="s">
        <v>117</v>
      </c>
      <c r="O50" s="11" t="s">
        <v>121</v>
      </c>
    </row>
    <row r="51" spans="1:15" ht="39.6" x14ac:dyDescent="0.3">
      <c r="A51" s="11">
        <v>18</v>
      </c>
      <c r="B51" s="3" t="s">
        <v>286</v>
      </c>
      <c r="C51" s="3" t="s">
        <v>289</v>
      </c>
      <c r="D51" s="11" t="s">
        <v>611</v>
      </c>
      <c r="E51" s="3" t="s">
        <v>532</v>
      </c>
      <c r="F51" s="3" t="s">
        <v>290</v>
      </c>
      <c r="G51" s="11" t="s">
        <v>120</v>
      </c>
      <c r="H51" s="11" t="s">
        <v>116</v>
      </c>
      <c r="I51" s="3" t="s">
        <v>722</v>
      </c>
      <c r="J51" s="3" t="s">
        <v>723</v>
      </c>
      <c r="K51" s="3" t="s">
        <v>724</v>
      </c>
      <c r="L51" s="11">
        <v>200</v>
      </c>
      <c r="M51" s="11" t="s">
        <v>172</v>
      </c>
      <c r="N51" s="14" t="s">
        <v>117</v>
      </c>
      <c r="O51" s="11" t="s">
        <v>121</v>
      </c>
    </row>
    <row r="52" spans="1:15" ht="26.4" x14ac:dyDescent="0.3">
      <c r="A52" s="11">
        <v>18</v>
      </c>
      <c r="B52" s="3" t="s">
        <v>286</v>
      </c>
      <c r="C52" s="3" t="s">
        <v>289</v>
      </c>
      <c r="D52" s="11" t="s">
        <v>123</v>
      </c>
      <c r="E52" s="3" t="s">
        <v>594</v>
      </c>
      <c r="F52" s="3" t="s">
        <v>615</v>
      </c>
      <c r="G52" s="11" t="s">
        <v>123</v>
      </c>
      <c r="H52" s="11"/>
      <c r="I52" s="3" t="s">
        <v>616</v>
      </c>
      <c r="J52" s="3"/>
      <c r="K52" s="3" t="s">
        <v>725</v>
      </c>
      <c r="L52" s="11">
        <v>200</v>
      </c>
      <c r="M52" s="11" t="s">
        <v>172</v>
      </c>
      <c r="N52" s="14" t="s">
        <v>117</v>
      </c>
      <c r="O52" s="11" t="s">
        <v>121</v>
      </c>
    </row>
    <row r="53" spans="1:15" ht="39.6" x14ac:dyDescent="0.3">
      <c r="A53" s="11">
        <v>19</v>
      </c>
      <c r="B53" s="3" t="s">
        <v>296</v>
      </c>
      <c r="C53" s="3" t="s">
        <v>298</v>
      </c>
      <c r="D53" s="11" t="s">
        <v>607</v>
      </c>
      <c r="E53" s="3" t="s">
        <v>114</v>
      </c>
      <c r="F53" s="3" t="s">
        <v>299</v>
      </c>
      <c r="G53" s="11" t="s">
        <v>120</v>
      </c>
      <c r="H53" s="11" t="s">
        <v>116</v>
      </c>
      <c r="I53" s="3" t="s">
        <v>608</v>
      </c>
      <c r="J53" s="3" t="s">
        <v>726</v>
      </c>
      <c r="K53" s="3" t="s">
        <v>727</v>
      </c>
      <c r="L53" s="11">
        <v>200</v>
      </c>
      <c r="M53" s="11" t="s">
        <v>172</v>
      </c>
      <c r="N53" s="14" t="s">
        <v>117</v>
      </c>
      <c r="O53" s="11" t="s">
        <v>121</v>
      </c>
    </row>
    <row r="54" spans="1:15" ht="39.6" x14ac:dyDescent="0.3">
      <c r="A54" s="11">
        <v>19</v>
      </c>
      <c r="B54" s="3" t="s">
        <v>296</v>
      </c>
      <c r="C54" s="3" t="s">
        <v>298</v>
      </c>
      <c r="D54" s="11" t="s">
        <v>611</v>
      </c>
      <c r="E54" s="3" t="s">
        <v>532</v>
      </c>
      <c r="F54" s="3" t="s">
        <v>299</v>
      </c>
      <c r="G54" s="11" t="s">
        <v>120</v>
      </c>
      <c r="H54" s="11" t="s">
        <v>116</v>
      </c>
      <c r="I54" s="3" t="s">
        <v>728</v>
      </c>
      <c r="J54" s="3" t="s">
        <v>729</v>
      </c>
      <c r="K54" s="3" t="s">
        <v>730</v>
      </c>
      <c r="L54" s="11">
        <v>200</v>
      </c>
      <c r="M54" s="11" t="s">
        <v>172</v>
      </c>
      <c r="N54" s="14" t="s">
        <v>117</v>
      </c>
      <c r="O54" s="11" t="s">
        <v>121</v>
      </c>
    </row>
    <row r="55" spans="1:15" ht="26.4" x14ac:dyDescent="0.3">
      <c r="A55" s="11">
        <v>19</v>
      </c>
      <c r="B55" s="3" t="s">
        <v>296</v>
      </c>
      <c r="C55" s="3" t="s">
        <v>298</v>
      </c>
      <c r="D55" s="11" t="s">
        <v>123</v>
      </c>
      <c r="E55" s="3" t="s">
        <v>594</v>
      </c>
      <c r="F55" s="3" t="s">
        <v>615</v>
      </c>
      <c r="G55" s="11" t="s">
        <v>123</v>
      </c>
      <c r="H55" s="11"/>
      <c r="I55" s="3" t="s">
        <v>616</v>
      </c>
      <c r="J55" s="3"/>
      <c r="K55" s="3" t="s">
        <v>731</v>
      </c>
      <c r="L55" s="11">
        <v>200</v>
      </c>
      <c r="M55" s="11" t="s">
        <v>172</v>
      </c>
      <c r="N55" s="14" t="s">
        <v>117</v>
      </c>
      <c r="O55" s="11" t="s">
        <v>121</v>
      </c>
    </row>
    <row r="56" spans="1:15" ht="39.6" x14ac:dyDescent="0.3">
      <c r="A56" s="11">
        <v>20</v>
      </c>
      <c r="B56" s="3" t="s">
        <v>305</v>
      </c>
      <c r="C56" s="3" t="s">
        <v>308</v>
      </c>
      <c r="D56" s="11" t="s">
        <v>607</v>
      </c>
      <c r="E56" s="3" t="s">
        <v>114</v>
      </c>
      <c r="F56" s="3" t="s">
        <v>309</v>
      </c>
      <c r="G56" s="11" t="s">
        <v>120</v>
      </c>
      <c r="H56" s="11" t="s">
        <v>116</v>
      </c>
      <c r="I56" s="3" t="s">
        <v>608</v>
      </c>
      <c r="J56" s="3"/>
      <c r="K56" s="3" t="s">
        <v>732</v>
      </c>
      <c r="L56" s="11">
        <v>200</v>
      </c>
      <c r="M56" s="11" t="s">
        <v>172</v>
      </c>
      <c r="N56" s="14" t="s">
        <v>117</v>
      </c>
      <c r="O56" s="11" t="s">
        <v>121</v>
      </c>
    </row>
    <row r="57" spans="1:15" ht="26.4" x14ac:dyDescent="0.3">
      <c r="A57" s="11">
        <v>20</v>
      </c>
      <c r="B57" s="3" t="s">
        <v>305</v>
      </c>
      <c r="C57" s="3" t="s">
        <v>308</v>
      </c>
      <c r="D57" s="11" t="s">
        <v>611</v>
      </c>
      <c r="E57" s="3" t="s">
        <v>496</v>
      </c>
      <c r="F57" s="3" t="s">
        <v>733</v>
      </c>
      <c r="G57" s="11" t="s">
        <v>429</v>
      </c>
      <c r="H57" s="11" t="s">
        <v>734</v>
      </c>
      <c r="I57" s="3" t="s">
        <v>608</v>
      </c>
      <c r="J57" s="3" t="s">
        <v>735</v>
      </c>
      <c r="K57" s="3" t="s">
        <v>736</v>
      </c>
      <c r="L57" s="11">
        <v>200</v>
      </c>
      <c r="M57" s="11" t="s">
        <v>172</v>
      </c>
      <c r="N57" s="14" t="s">
        <v>117</v>
      </c>
      <c r="O57" s="11" t="s">
        <v>121</v>
      </c>
    </row>
    <row r="58" spans="1:15" ht="26.4" x14ac:dyDescent="0.3">
      <c r="A58" s="11">
        <v>20</v>
      </c>
      <c r="B58" s="3" t="s">
        <v>305</v>
      </c>
      <c r="C58" s="3" t="s">
        <v>308</v>
      </c>
      <c r="D58" s="11" t="s">
        <v>123</v>
      </c>
      <c r="E58" s="3" t="s">
        <v>594</v>
      </c>
      <c r="F58" s="3" t="s">
        <v>615</v>
      </c>
      <c r="G58" s="11" t="s">
        <v>123</v>
      </c>
      <c r="H58" s="11"/>
      <c r="I58" s="3" t="s">
        <v>616</v>
      </c>
      <c r="J58" s="3"/>
      <c r="K58" s="3" t="s">
        <v>737</v>
      </c>
      <c r="L58" s="11">
        <v>200</v>
      </c>
      <c r="M58" s="11" t="s">
        <v>172</v>
      </c>
      <c r="N58" s="14" t="s">
        <v>117</v>
      </c>
      <c r="O58" s="11" t="s">
        <v>121</v>
      </c>
    </row>
    <row r="59" spans="1:15" ht="39.6" x14ac:dyDescent="0.3">
      <c r="A59" s="11">
        <v>21</v>
      </c>
      <c r="B59" s="3" t="s">
        <v>315</v>
      </c>
      <c r="C59" s="3" t="s">
        <v>317</v>
      </c>
      <c r="D59" s="11" t="s">
        <v>607</v>
      </c>
      <c r="E59" s="3" t="s">
        <v>114</v>
      </c>
      <c r="F59" s="3" t="s">
        <v>318</v>
      </c>
      <c r="G59" s="11" t="s">
        <v>120</v>
      </c>
      <c r="H59" s="11" t="s">
        <v>116</v>
      </c>
      <c r="I59" s="3" t="s">
        <v>608</v>
      </c>
      <c r="J59" s="3"/>
      <c r="K59" s="3" t="s">
        <v>738</v>
      </c>
      <c r="L59" s="11">
        <v>200</v>
      </c>
      <c r="M59" s="11" t="s">
        <v>172</v>
      </c>
      <c r="N59" s="14" t="s">
        <v>117</v>
      </c>
      <c r="O59" s="11" t="s">
        <v>121</v>
      </c>
    </row>
    <row r="60" spans="1:15" ht="26.4" x14ac:dyDescent="0.3">
      <c r="A60" s="11">
        <v>21</v>
      </c>
      <c r="B60" s="3" t="s">
        <v>315</v>
      </c>
      <c r="C60" s="3" t="s">
        <v>317</v>
      </c>
      <c r="D60" s="11" t="s">
        <v>611</v>
      </c>
      <c r="E60" s="3" t="s">
        <v>496</v>
      </c>
      <c r="F60" s="3" t="s">
        <v>733</v>
      </c>
      <c r="G60" s="11" t="s">
        <v>429</v>
      </c>
      <c r="H60" s="11" t="s">
        <v>734</v>
      </c>
      <c r="I60" s="3" t="s">
        <v>608</v>
      </c>
      <c r="J60" s="3" t="s">
        <v>735</v>
      </c>
      <c r="K60" s="3" t="s">
        <v>736</v>
      </c>
      <c r="L60" s="11">
        <v>200</v>
      </c>
      <c r="M60" s="11" t="s">
        <v>172</v>
      </c>
      <c r="N60" s="14" t="s">
        <v>117</v>
      </c>
      <c r="O60" s="11" t="s">
        <v>121</v>
      </c>
    </row>
    <row r="61" spans="1:15" ht="26.4" x14ac:dyDescent="0.3">
      <c r="A61" s="11">
        <v>21</v>
      </c>
      <c r="B61" s="3" t="s">
        <v>315</v>
      </c>
      <c r="C61" s="3" t="s">
        <v>317</v>
      </c>
      <c r="D61" s="11" t="s">
        <v>123</v>
      </c>
      <c r="E61" s="3" t="s">
        <v>594</v>
      </c>
      <c r="F61" s="3" t="s">
        <v>615</v>
      </c>
      <c r="G61" s="11" t="s">
        <v>123</v>
      </c>
      <c r="H61" s="11"/>
      <c r="I61" s="3" t="s">
        <v>616</v>
      </c>
      <c r="J61" s="3"/>
      <c r="K61" s="3" t="s">
        <v>739</v>
      </c>
      <c r="L61" s="11">
        <v>200</v>
      </c>
      <c r="M61" s="11" t="s">
        <v>172</v>
      </c>
      <c r="N61" s="14" t="s">
        <v>117</v>
      </c>
      <c r="O61" s="11" t="s">
        <v>121</v>
      </c>
    </row>
    <row r="62" spans="1:15" ht="39.6" x14ac:dyDescent="0.3">
      <c r="A62" s="11">
        <v>22</v>
      </c>
      <c r="B62" s="3" t="s">
        <v>323</v>
      </c>
      <c r="C62" s="3" t="s">
        <v>325</v>
      </c>
      <c r="D62" s="11" t="s">
        <v>607</v>
      </c>
      <c r="E62" s="3" t="s">
        <v>114</v>
      </c>
      <c r="F62" s="3" t="s">
        <v>326</v>
      </c>
      <c r="G62" s="11" t="s">
        <v>120</v>
      </c>
      <c r="H62" s="11" t="s">
        <v>116</v>
      </c>
      <c r="I62" s="3" t="s">
        <v>608</v>
      </c>
      <c r="J62" s="3"/>
      <c r="K62" s="3" t="s">
        <v>740</v>
      </c>
      <c r="L62" s="11">
        <v>200</v>
      </c>
      <c r="M62" s="11" t="s">
        <v>172</v>
      </c>
      <c r="N62" s="14" t="s">
        <v>117</v>
      </c>
      <c r="O62" s="11" t="s">
        <v>121</v>
      </c>
    </row>
    <row r="63" spans="1:15" ht="26.4" x14ac:dyDescent="0.3">
      <c r="A63" s="11">
        <v>22</v>
      </c>
      <c r="B63" s="3" t="s">
        <v>323</v>
      </c>
      <c r="C63" s="3" t="s">
        <v>325</v>
      </c>
      <c r="D63" s="11" t="s">
        <v>611</v>
      </c>
      <c r="E63" s="3" t="s">
        <v>496</v>
      </c>
      <c r="F63" s="3" t="s">
        <v>733</v>
      </c>
      <c r="G63" s="11" t="s">
        <v>429</v>
      </c>
      <c r="H63" s="11" t="s">
        <v>734</v>
      </c>
      <c r="I63" s="3" t="s">
        <v>608</v>
      </c>
      <c r="J63" s="3" t="s">
        <v>735</v>
      </c>
      <c r="K63" s="3" t="s">
        <v>736</v>
      </c>
      <c r="L63" s="11">
        <v>200</v>
      </c>
      <c r="M63" s="11" t="s">
        <v>172</v>
      </c>
      <c r="N63" s="14" t="s">
        <v>117</v>
      </c>
      <c r="O63" s="11" t="s">
        <v>121</v>
      </c>
    </row>
    <row r="64" spans="1:15" ht="26.4" x14ac:dyDescent="0.3">
      <c r="A64" s="11">
        <v>22</v>
      </c>
      <c r="B64" s="3" t="s">
        <v>323</v>
      </c>
      <c r="C64" s="3" t="s">
        <v>325</v>
      </c>
      <c r="D64" s="11" t="s">
        <v>123</v>
      </c>
      <c r="E64" s="3" t="s">
        <v>594</v>
      </c>
      <c r="F64" s="3" t="s">
        <v>615</v>
      </c>
      <c r="G64" s="11" t="s">
        <v>123</v>
      </c>
      <c r="H64" s="11"/>
      <c r="I64" s="3" t="s">
        <v>616</v>
      </c>
      <c r="J64" s="3"/>
      <c r="K64" s="3" t="s">
        <v>741</v>
      </c>
      <c r="L64" s="11">
        <v>200</v>
      </c>
      <c r="M64" s="11" t="s">
        <v>172</v>
      </c>
      <c r="N64" s="14" t="s">
        <v>117</v>
      </c>
      <c r="O64" s="11" t="s">
        <v>121</v>
      </c>
    </row>
    <row r="65" spans="1:15" ht="39.6" x14ac:dyDescent="0.3">
      <c r="A65" s="11">
        <v>23</v>
      </c>
      <c r="B65" s="3" t="s">
        <v>331</v>
      </c>
      <c r="C65" s="3" t="s">
        <v>333</v>
      </c>
      <c r="D65" s="11" t="s">
        <v>607</v>
      </c>
      <c r="E65" s="3" t="s">
        <v>114</v>
      </c>
      <c r="F65" s="3" t="s">
        <v>334</v>
      </c>
      <c r="G65" s="11" t="s">
        <v>120</v>
      </c>
      <c r="H65" s="11" t="s">
        <v>116</v>
      </c>
      <c r="I65" s="3" t="s">
        <v>608</v>
      </c>
      <c r="J65" s="3"/>
      <c r="K65" s="3" t="s">
        <v>742</v>
      </c>
      <c r="L65" s="11">
        <v>200</v>
      </c>
      <c r="M65" s="11" t="s">
        <v>172</v>
      </c>
      <c r="N65" s="14" t="s">
        <v>117</v>
      </c>
      <c r="O65" s="11" t="s">
        <v>121</v>
      </c>
    </row>
    <row r="66" spans="1:15" ht="26.4" x14ac:dyDescent="0.3">
      <c r="A66" s="11">
        <v>23</v>
      </c>
      <c r="B66" s="3" t="s">
        <v>331</v>
      </c>
      <c r="C66" s="3" t="s">
        <v>333</v>
      </c>
      <c r="D66" s="11" t="s">
        <v>611</v>
      </c>
      <c r="E66" s="3" t="s">
        <v>496</v>
      </c>
      <c r="F66" s="3" t="s">
        <v>733</v>
      </c>
      <c r="G66" s="11" t="s">
        <v>429</v>
      </c>
      <c r="H66" s="11" t="s">
        <v>734</v>
      </c>
      <c r="I66" s="3" t="s">
        <v>608</v>
      </c>
      <c r="J66" s="3" t="s">
        <v>735</v>
      </c>
      <c r="K66" s="3" t="s">
        <v>736</v>
      </c>
      <c r="L66" s="11">
        <v>200</v>
      </c>
      <c r="M66" s="11" t="s">
        <v>172</v>
      </c>
      <c r="N66" s="14" t="s">
        <v>117</v>
      </c>
      <c r="O66" s="11" t="s">
        <v>121</v>
      </c>
    </row>
    <row r="67" spans="1:15" ht="26.4" x14ac:dyDescent="0.3">
      <c r="A67" s="11">
        <v>23</v>
      </c>
      <c r="B67" s="3" t="s">
        <v>331</v>
      </c>
      <c r="C67" s="3" t="s">
        <v>333</v>
      </c>
      <c r="D67" s="11" t="s">
        <v>123</v>
      </c>
      <c r="E67" s="3" t="s">
        <v>594</v>
      </c>
      <c r="F67" s="3" t="s">
        <v>615</v>
      </c>
      <c r="G67" s="11" t="s">
        <v>123</v>
      </c>
      <c r="H67" s="11"/>
      <c r="I67" s="3" t="s">
        <v>616</v>
      </c>
      <c r="J67" s="3"/>
      <c r="K67" s="3" t="s">
        <v>743</v>
      </c>
      <c r="L67" s="11">
        <v>200</v>
      </c>
      <c r="M67" s="11" t="s">
        <v>172</v>
      </c>
      <c r="N67" s="14" t="s">
        <v>117</v>
      </c>
      <c r="O67" s="11" t="s">
        <v>121</v>
      </c>
    </row>
    <row r="68" spans="1:15" ht="39.6" x14ac:dyDescent="0.3">
      <c r="A68" s="11">
        <v>24</v>
      </c>
      <c r="B68" s="3" t="s">
        <v>339</v>
      </c>
      <c r="C68" s="3" t="s">
        <v>341</v>
      </c>
      <c r="D68" s="11" t="s">
        <v>607</v>
      </c>
      <c r="E68" s="3" t="s">
        <v>114</v>
      </c>
      <c r="F68" s="3" t="s">
        <v>342</v>
      </c>
      <c r="G68" s="11" t="s">
        <v>120</v>
      </c>
      <c r="H68" s="11" t="s">
        <v>116</v>
      </c>
      <c r="I68" s="3" t="s">
        <v>608</v>
      </c>
      <c r="J68" s="3"/>
      <c r="K68" s="3" t="s">
        <v>744</v>
      </c>
      <c r="L68" s="11">
        <v>200</v>
      </c>
      <c r="M68" s="11" t="s">
        <v>172</v>
      </c>
      <c r="N68" s="14" t="s">
        <v>117</v>
      </c>
      <c r="O68" s="11" t="s">
        <v>121</v>
      </c>
    </row>
    <row r="69" spans="1:15" ht="26.4" x14ac:dyDescent="0.3">
      <c r="A69" s="11">
        <v>24</v>
      </c>
      <c r="B69" s="3" t="s">
        <v>339</v>
      </c>
      <c r="C69" s="3" t="s">
        <v>341</v>
      </c>
      <c r="D69" s="11" t="s">
        <v>611</v>
      </c>
      <c r="E69" s="3" t="s">
        <v>496</v>
      </c>
      <c r="F69" s="3" t="s">
        <v>733</v>
      </c>
      <c r="G69" s="11" t="s">
        <v>429</v>
      </c>
      <c r="H69" s="11" t="s">
        <v>734</v>
      </c>
      <c r="I69" s="3" t="s">
        <v>608</v>
      </c>
      <c r="J69" s="3" t="s">
        <v>735</v>
      </c>
      <c r="K69" s="3" t="s">
        <v>736</v>
      </c>
      <c r="L69" s="11">
        <v>200</v>
      </c>
      <c r="M69" s="11" t="s">
        <v>172</v>
      </c>
      <c r="N69" s="14" t="s">
        <v>117</v>
      </c>
      <c r="O69" s="11" t="s">
        <v>121</v>
      </c>
    </row>
    <row r="70" spans="1:15" ht="26.4" x14ac:dyDescent="0.3">
      <c r="A70" s="11">
        <v>24</v>
      </c>
      <c r="B70" s="3" t="s">
        <v>339</v>
      </c>
      <c r="C70" s="3" t="s">
        <v>341</v>
      </c>
      <c r="D70" s="11" t="s">
        <v>123</v>
      </c>
      <c r="E70" s="3" t="s">
        <v>594</v>
      </c>
      <c r="F70" s="3" t="s">
        <v>615</v>
      </c>
      <c r="G70" s="11" t="s">
        <v>123</v>
      </c>
      <c r="H70" s="11"/>
      <c r="I70" s="3" t="s">
        <v>616</v>
      </c>
      <c r="J70" s="3"/>
      <c r="K70" s="3" t="s">
        <v>745</v>
      </c>
      <c r="L70" s="11">
        <v>200</v>
      </c>
      <c r="M70" s="11" t="s">
        <v>172</v>
      </c>
      <c r="N70" s="14" t="s">
        <v>117</v>
      </c>
      <c r="O70" s="11" t="s">
        <v>121</v>
      </c>
    </row>
    <row r="71" spans="1:15" ht="39.6" x14ac:dyDescent="0.3">
      <c r="A71" s="11">
        <v>25</v>
      </c>
      <c r="B71" s="3" t="s">
        <v>347</v>
      </c>
      <c r="C71" s="3" t="s">
        <v>349</v>
      </c>
      <c r="D71" s="11" t="s">
        <v>607</v>
      </c>
      <c r="E71" s="3" t="s">
        <v>114</v>
      </c>
      <c r="F71" s="3" t="s">
        <v>350</v>
      </c>
      <c r="G71" s="11" t="s">
        <v>120</v>
      </c>
      <c r="H71" s="11" t="s">
        <v>116</v>
      </c>
      <c r="I71" s="3" t="s">
        <v>608</v>
      </c>
      <c r="J71" s="3"/>
      <c r="K71" s="3" t="s">
        <v>746</v>
      </c>
      <c r="L71" s="11">
        <v>200</v>
      </c>
      <c r="M71" s="11" t="s">
        <v>172</v>
      </c>
      <c r="N71" s="14" t="s">
        <v>117</v>
      </c>
      <c r="O71" s="11" t="s">
        <v>121</v>
      </c>
    </row>
    <row r="72" spans="1:15" ht="26.4" x14ac:dyDescent="0.3">
      <c r="A72" s="11">
        <v>25</v>
      </c>
      <c r="B72" s="3" t="s">
        <v>347</v>
      </c>
      <c r="C72" s="3" t="s">
        <v>349</v>
      </c>
      <c r="D72" s="11" t="s">
        <v>611</v>
      </c>
      <c r="E72" s="3" t="s">
        <v>496</v>
      </c>
      <c r="F72" s="3" t="s">
        <v>733</v>
      </c>
      <c r="G72" s="11" t="s">
        <v>429</v>
      </c>
      <c r="H72" s="11" t="s">
        <v>734</v>
      </c>
      <c r="I72" s="3" t="s">
        <v>608</v>
      </c>
      <c r="J72" s="3" t="s">
        <v>735</v>
      </c>
      <c r="K72" s="3" t="s">
        <v>736</v>
      </c>
      <c r="L72" s="11">
        <v>200</v>
      </c>
      <c r="M72" s="11" t="s">
        <v>172</v>
      </c>
      <c r="N72" s="14" t="s">
        <v>117</v>
      </c>
      <c r="O72" s="11" t="s">
        <v>121</v>
      </c>
    </row>
    <row r="73" spans="1:15" ht="26.4" x14ac:dyDescent="0.3">
      <c r="A73" s="11">
        <v>25</v>
      </c>
      <c r="B73" s="3" t="s">
        <v>347</v>
      </c>
      <c r="C73" s="3" t="s">
        <v>349</v>
      </c>
      <c r="D73" s="11" t="s">
        <v>123</v>
      </c>
      <c r="E73" s="3" t="s">
        <v>594</v>
      </c>
      <c r="F73" s="3" t="s">
        <v>615</v>
      </c>
      <c r="G73" s="11" t="s">
        <v>123</v>
      </c>
      <c r="H73" s="11"/>
      <c r="I73" s="3" t="s">
        <v>616</v>
      </c>
      <c r="J73" s="3"/>
      <c r="K73" s="3" t="s">
        <v>747</v>
      </c>
      <c r="L73" s="11">
        <v>200</v>
      </c>
      <c r="M73" s="11" t="s">
        <v>172</v>
      </c>
      <c r="N73" s="14" t="s">
        <v>117</v>
      </c>
      <c r="O73" s="11" t="s">
        <v>121</v>
      </c>
    </row>
    <row r="74" spans="1:15" ht="52.8" x14ac:dyDescent="0.3">
      <c r="A74" s="11">
        <v>26</v>
      </c>
      <c r="B74" s="3" t="s">
        <v>355</v>
      </c>
      <c r="C74" s="3" t="s">
        <v>358</v>
      </c>
      <c r="D74" s="11" t="s">
        <v>607</v>
      </c>
      <c r="E74" s="3" t="s">
        <v>114</v>
      </c>
      <c r="F74" s="3" t="s">
        <v>359</v>
      </c>
      <c r="G74" s="11" t="s">
        <v>120</v>
      </c>
      <c r="H74" s="11" t="s">
        <v>116</v>
      </c>
      <c r="I74" s="3" t="s">
        <v>608</v>
      </c>
      <c r="J74" s="3" t="s">
        <v>748</v>
      </c>
      <c r="K74" s="3" t="s">
        <v>749</v>
      </c>
      <c r="L74" s="11">
        <v>200</v>
      </c>
      <c r="M74" s="11" t="s">
        <v>172</v>
      </c>
      <c r="N74" s="14" t="s">
        <v>117</v>
      </c>
      <c r="O74" s="11" t="s">
        <v>121</v>
      </c>
    </row>
    <row r="75" spans="1:15" ht="52.8" x14ac:dyDescent="0.3">
      <c r="A75" s="11">
        <v>26</v>
      </c>
      <c r="B75" s="3" t="s">
        <v>355</v>
      </c>
      <c r="C75" s="3" t="s">
        <v>358</v>
      </c>
      <c r="D75" s="11" t="s">
        <v>611</v>
      </c>
      <c r="E75" s="3" t="s">
        <v>532</v>
      </c>
      <c r="F75" s="3" t="s">
        <v>750</v>
      </c>
      <c r="G75" s="11" t="s">
        <v>429</v>
      </c>
      <c r="H75" s="11" t="s">
        <v>230</v>
      </c>
      <c r="I75" s="3" t="s">
        <v>751</v>
      </c>
      <c r="J75" s="3" t="s">
        <v>752</v>
      </c>
      <c r="K75" s="3" t="s">
        <v>753</v>
      </c>
      <c r="L75" s="11">
        <v>200</v>
      </c>
      <c r="M75" s="11" t="s">
        <v>172</v>
      </c>
      <c r="N75" s="14" t="s">
        <v>117</v>
      </c>
      <c r="O75" s="11" t="s">
        <v>121</v>
      </c>
    </row>
    <row r="76" spans="1:15" ht="52.8" x14ac:dyDescent="0.3">
      <c r="A76" s="11">
        <v>26</v>
      </c>
      <c r="B76" s="3" t="s">
        <v>355</v>
      </c>
      <c r="C76" s="3" t="s">
        <v>358</v>
      </c>
      <c r="D76" s="11" t="s">
        <v>123</v>
      </c>
      <c r="E76" s="3" t="s">
        <v>594</v>
      </c>
      <c r="F76" s="3" t="s">
        <v>615</v>
      </c>
      <c r="G76" s="11" t="s">
        <v>123</v>
      </c>
      <c r="H76" s="11"/>
      <c r="I76" s="3" t="s">
        <v>616</v>
      </c>
      <c r="J76" s="3"/>
      <c r="K76" s="3" t="s">
        <v>754</v>
      </c>
      <c r="L76" s="11">
        <v>200</v>
      </c>
      <c r="M76" s="11" t="s">
        <v>172</v>
      </c>
      <c r="N76" s="14" t="s">
        <v>117</v>
      </c>
      <c r="O76" s="11" t="s">
        <v>121</v>
      </c>
    </row>
    <row r="77" spans="1:15" ht="26.4" x14ac:dyDescent="0.3">
      <c r="A77" s="11">
        <v>27</v>
      </c>
      <c r="B77" s="3" t="s">
        <v>365</v>
      </c>
      <c r="C77" s="3" t="s">
        <v>367</v>
      </c>
      <c r="D77" s="11" t="s">
        <v>607</v>
      </c>
      <c r="E77" s="3" t="s">
        <v>228</v>
      </c>
      <c r="F77" s="3" t="s">
        <v>368</v>
      </c>
      <c r="G77" s="11" t="s">
        <v>120</v>
      </c>
      <c r="H77" s="11" t="s">
        <v>116</v>
      </c>
      <c r="I77" s="3" t="s">
        <v>755</v>
      </c>
      <c r="J77" s="3" t="s">
        <v>756</v>
      </c>
      <c r="K77" s="3" t="s">
        <v>757</v>
      </c>
      <c r="L77" s="11">
        <v>200</v>
      </c>
      <c r="M77" s="11" t="s">
        <v>172</v>
      </c>
      <c r="N77" s="14" t="s">
        <v>117</v>
      </c>
      <c r="O77" s="11" t="s">
        <v>121</v>
      </c>
    </row>
    <row r="78" spans="1:15" ht="26.4" x14ac:dyDescent="0.3">
      <c r="A78" s="11">
        <v>27</v>
      </c>
      <c r="B78" s="3" t="s">
        <v>365</v>
      </c>
      <c r="C78" s="3" t="s">
        <v>367</v>
      </c>
      <c r="D78" s="11" t="s">
        <v>611</v>
      </c>
      <c r="E78" s="3" t="s">
        <v>532</v>
      </c>
      <c r="F78" s="3" t="s">
        <v>758</v>
      </c>
      <c r="G78" s="11" t="s">
        <v>120</v>
      </c>
      <c r="H78" s="11" t="s">
        <v>230</v>
      </c>
      <c r="I78" s="3" t="s">
        <v>751</v>
      </c>
      <c r="J78" s="3" t="s">
        <v>759</v>
      </c>
      <c r="K78" s="3" t="s">
        <v>760</v>
      </c>
      <c r="L78" s="11">
        <v>200</v>
      </c>
      <c r="M78" s="11" t="s">
        <v>172</v>
      </c>
      <c r="N78" s="14" t="s">
        <v>117</v>
      </c>
      <c r="O78" s="11" t="s">
        <v>121</v>
      </c>
    </row>
    <row r="79" spans="1:15" ht="39.6" x14ac:dyDescent="0.3">
      <c r="A79" s="11">
        <v>27</v>
      </c>
      <c r="B79" s="3" t="s">
        <v>365</v>
      </c>
      <c r="C79" s="3" t="s">
        <v>367</v>
      </c>
      <c r="D79" s="11" t="s">
        <v>123</v>
      </c>
      <c r="E79" s="3" t="s">
        <v>594</v>
      </c>
      <c r="F79" s="3" t="s">
        <v>615</v>
      </c>
      <c r="G79" s="11" t="s">
        <v>123</v>
      </c>
      <c r="H79" s="11"/>
      <c r="I79" s="3" t="s">
        <v>616</v>
      </c>
      <c r="J79" s="3"/>
      <c r="K79" s="3" t="s">
        <v>761</v>
      </c>
      <c r="L79" s="11">
        <v>200</v>
      </c>
      <c r="M79" s="11" t="s">
        <v>172</v>
      </c>
      <c r="N79" s="14" t="s">
        <v>117</v>
      </c>
      <c r="O79" s="11" t="s">
        <v>121</v>
      </c>
    </row>
    <row r="80" spans="1:15" ht="39.6" x14ac:dyDescent="0.3">
      <c r="A80" s="11">
        <v>28</v>
      </c>
      <c r="B80" s="3" t="s">
        <v>374</v>
      </c>
      <c r="C80" s="3" t="s">
        <v>376</v>
      </c>
      <c r="D80" s="11" t="s">
        <v>607</v>
      </c>
      <c r="E80" s="3" t="s">
        <v>114</v>
      </c>
      <c r="F80" s="3" t="s">
        <v>377</v>
      </c>
      <c r="G80" s="11" t="s">
        <v>120</v>
      </c>
      <c r="H80" s="11" t="s">
        <v>116</v>
      </c>
      <c r="I80" s="3" t="s">
        <v>608</v>
      </c>
      <c r="J80" s="3"/>
      <c r="K80" s="3" t="s">
        <v>762</v>
      </c>
      <c r="L80" s="11">
        <v>200</v>
      </c>
      <c r="M80" s="11" t="s">
        <v>172</v>
      </c>
      <c r="N80" s="14" t="s">
        <v>117</v>
      </c>
      <c r="O80" s="11" t="s">
        <v>121</v>
      </c>
    </row>
    <row r="81" spans="1:15" ht="26.4" x14ac:dyDescent="0.3">
      <c r="A81" s="11">
        <v>28</v>
      </c>
      <c r="B81" s="3" t="s">
        <v>374</v>
      </c>
      <c r="C81" s="3" t="s">
        <v>376</v>
      </c>
      <c r="D81" s="11" t="s">
        <v>611</v>
      </c>
      <c r="E81" s="3" t="s">
        <v>496</v>
      </c>
      <c r="F81" s="3" t="s">
        <v>733</v>
      </c>
      <c r="G81" s="11" t="s">
        <v>429</v>
      </c>
      <c r="H81" s="11" t="s">
        <v>734</v>
      </c>
      <c r="I81" s="3" t="s">
        <v>608</v>
      </c>
      <c r="J81" s="3" t="s">
        <v>735</v>
      </c>
      <c r="K81" s="3" t="s">
        <v>736</v>
      </c>
      <c r="L81" s="11">
        <v>200</v>
      </c>
      <c r="M81" s="11" t="s">
        <v>172</v>
      </c>
      <c r="N81" s="14" t="s">
        <v>117</v>
      </c>
      <c r="O81" s="11" t="s">
        <v>121</v>
      </c>
    </row>
    <row r="82" spans="1:15" ht="26.4" x14ac:dyDescent="0.3">
      <c r="A82" s="11">
        <v>28</v>
      </c>
      <c r="B82" s="3" t="s">
        <v>374</v>
      </c>
      <c r="C82" s="3" t="s">
        <v>376</v>
      </c>
      <c r="D82" s="11" t="s">
        <v>123</v>
      </c>
      <c r="E82" s="3" t="s">
        <v>594</v>
      </c>
      <c r="F82" s="3" t="s">
        <v>615</v>
      </c>
      <c r="G82" s="11" t="s">
        <v>123</v>
      </c>
      <c r="H82" s="11"/>
      <c r="I82" s="3" t="s">
        <v>616</v>
      </c>
      <c r="J82" s="3"/>
      <c r="K82" s="3" t="s">
        <v>763</v>
      </c>
      <c r="L82" s="11">
        <v>200</v>
      </c>
      <c r="M82" s="11" t="s">
        <v>172</v>
      </c>
      <c r="N82" s="14" t="s">
        <v>117</v>
      </c>
      <c r="O82" s="11" t="s">
        <v>121</v>
      </c>
    </row>
    <row r="83" spans="1:15" ht="39.6" x14ac:dyDescent="0.3">
      <c r="A83" s="11">
        <v>29</v>
      </c>
      <c r="B83" s="3" t="s">
        <v>382</v>
      </c>
      <c r="C83" s="3" t="s">
        <v>384</v>
      </c>
      <c r="D83" s="11" t="s">
        <v>607</v>
      </c>
      <c r="E83" s="3" t="s">
        <v>114</v>
      </c>
      <c r="F83" s="3" t="s">
        <v>385</v>
      </c>
      <c r="G83" s="11" t="s">
        <v>120</v>
      </c>
      <c r="H83" s="11" t="s">
        <v>116</v>
      </c>
      <c r="I83" s="3" t="s">
        <v>608</v>
      </c>
      <c r="J83" s="3"/>
      <c r="K83" s="3" t="s">
        <v>764</v>
      </c>
      <c r="L83" s="11">
        <v>200</v>
      </c>
      <c r="M83" s="11" t="s">
        <v>172</v>
      </c>
      <c r="N83" s="14" t="s">
        <v>117</v>
      </c>
      <c r="O83" s="11" t="s">
        <v>121</v>
      </c>
    </row>
    <row r="84" spans="1:15" ht="26.4" x14ac:dyDescent="0.3">
      <c r="A84" s="11">
        <v>29</v>
      </c>
      <c r="B84" s="3" t="s">
        <v>382</v>
      </c>
      <c r="C84" s="3" t="s">
        <v>384</v>
      </c>
      <c r="D84" s="11" t="s">
        <v>611</v>
      </c>
      <c r="E84" s="3" t="s">
        <v>496</v>
      </c>
      <c r="F84" s="3" t="s">
        <v>733</v>
      </c>
      <c r="G84" s="11" t="s">
        <v>429</v>
      </c>
      <c r="H84" s="11" t="s">
        <v>734</v>
      </c>
      <c r="I84" s="3" t="s">
        <v>608</v>
      </c>
      <c r="J84" s="3" t="s">
        <v>735</v>
      </c>
      <c r="K84" s="3" t="s">
        <v>736</v>
      </c>
      <c r="L84" s="11">
        <v>200</v>
      </c>
      <c r="M84" s="11" t="s">
        <v>172</v>
      </c>
      <c r="N84" s="14" t="s">
        <v>117</v>
      </c>
      <c r="O84" s="11" t="s">
        <v>121</v>
      </c>
    </row>
    <row r="85" spans="1:15" ht="26.4" x14ac:dyDescent="0.3">
      <c r="A85" s="11">
        <v>29</v>
      </c>
      <c r="B85" s="3" t="s">
        <v>382</v>
      </c>
      <c r="C85" s="3" t="s">
        <v>384</v>
      </c>
      <c r="D85" s="11" t="s">
        <v>123</v>
      </c>
      <c r="E85" s="3" t="s">
        <v>594</v>
      </c>
      <c r="F85" s="3" t="s">
        <v>615</v>
      </c>
      <c r="G85" s="11" t="s">
        <v>123</v>
      </c>
      <c r="H85" s="11"/>
      <c r="I85" s="3" t="s">
        <v>616</v>
      </c>
      <c r="J85" s="3"/>
      <c r="K85" s="3" t="s">
        <v>765</v>
      </c>
      <c r="L85" s="11">
        <v>200</v>
      </c>
      <c r="M85" s="11" t="s">
        <v>172</v>
      </c>
      <c r="N85" s="14" t="s">
        <v>117</v>
      </c>
      <c r="O85" s="11" t="s">
        <v>121</v>
      </c>
    </row>
    <row r="86" spans="1:15" ht="39.6" x14ac:dyDescent="0.3">
      <c r="A86" s="11">
        <v>30</v>
      </c>
      <c r="B86" s="3" t="s">
        <v>390</v>
      </c>
      <c r="C86" s="3" t="s">
        <v>392</v>
      </c>
      <c r="D86" s="11" t="s">
        <v>607</v>
      </c>
      <c r="E86" s="3" t="s">
        <v>114</v>
      </c>
      <c r="F86" s="3" t="s">
        <v>393</v>
      </c>
      <c r="G86" s="11" t="s">
        <v>120</v>
      </c>
      <c r="H86" s="11" t="s">
        <v>116</v>
      </c>
      <c r="I86" s="3" t="s">
        <v>608</v>
      </c>
      <c r="J86" s="3"/>
      <c r="K86" s="3" t="s">
        <v>766</v>
      </c>
      <c r="L86" s="11">
        <v>200</v>
      </c>
      <c r="M86" s="11" t="s">
        <v>172</v>
      </c>
      <c r="N86" s="14" t="s">
        <v>117</v>
      </c>
      <c r="O86" s="11" t="s">
        <v>121</v>
      </c>
    </row>
    <row r="87" spans="1:15" ht="26.4" x14ac:dyDescent="0.3">
      <c r="A87" s="11">
        <v>30</v>
      </c>
      <c r="B87" s="3" t="s">
        <v>390</v>
      </c>
      <c r="C87" s="3" t="s">
        <v>392</v>
      </c>
      <c r="D87" s="11" t="s">
        <v>611</v>
      </c>
      <c r="E87" s="3" t="s">
        <v>496</v>
      </c>
      <c r="F87" s="3" t="s">
        <v>733</v>
      </c>
      <c r="G87" s="11" t="s">
        <v>429</v>
      </c>
      <c r="H87" s="11" t="s">
        <v>734</v>
      </c>
      <c r="I87" s="3" t="s">
        <v>608</v>
      </c>
      <c r="J87" s="3" t="s">
        <v>735</v>
      </c>
      <c r="K87" s="3" t="s">
        <v>736</v>
      </c>
      <c r="L87" s="11">
        <v>200</v>
      </c>
      <c r="M87" s="11" t="s">
        <v>172</v>
      </c>
      <c r="N87" s="14" t="s">
        <v>117</v>
      </c>
      <c r="O87" s="11" t="s">
        <v>121</v>
      </c>
    </row>
    <row r="88" spans="1:15" ht="26.4" x14ac:dyDescent="0.3">
      <c r="A88" s="11">
        <v>30</v>
      </c>
      <c r="B88" s="3" t="s">
        <v>390</v>
      </c>
      <c r="C88" s="3" t="s">
        <v>392</v>
      </c>
      <c r="D88" s="11" t="s">
        <v>123</v>
      </c>
      <c r="E88" s="3" t="s">
        <v>594</v>
      </c>
      <c r="F88" s="3" t="s">
        <v>615</v>
      </c>
      <c r="G88" s="11" t="s">
        <v>123</v>
      </c>
      <c r="H88" s="11"/>
      <c r="I88" s="3" t="s">
        <v>616</v>
      </c>
      <c r="J88" s="3"/>
      <c r="K88" s="3" t="s">
        <v>767</v>
      </c>
      <c r="L88" s="11">
        <v>200</v>
      </c>
      <c r="M88" s="11" t="s">
        <v>172</v>
      </c>
      <c r="N88" s="14" t="s">
        <v>117</v>
      </c>
      <c r="O88" s="11" t="s">
        <v>121</v>
      </c>
    </row>
    <row r="89" spans="1:15" ht="66" x14ac:dyDescent="0.3">
      <c r="A89" s="11">
        <v>31</v>
      </c>
      <c r="B89" s="3" t="s">
        <v>398</v>
      </c>
      <c r="C89" s="3" t="s">
        <v>401</v>
      </c>
      <c r="D89" s="11" t="s">
        <v>607</v>
      </c>
      <c r="E89" s="3" t="s">
        <v>114</v>
      </c>
      <c r="F89" s="3" t="s">
        <v>402</v>
      </c>
      <c r="G89" s="11" t="s">
        <v>120</v>
      </c>
      <c r="H89" s="11" t="s">
        <v>116</v>
      </c>
      <c r="I89" s="3" t="s">
        <v>608</v>
      </c>
      <c r="J89" s="3" t="s">
        <v>768</v>
      </c>
      <c r="K89" s="3" t="s">
        <v>769</v>
      </c>
      <c r="L89" s="11">
        <v>200</v>
      </c>
      <c r="M89" s="11" t="s">
        <v>172</v>
      </c>
      <c r="N89" s="14" t="s">
        <v>117</v>
      </c>
      <c r="O89" s="11" t="s">
        <v>121</v>
      </c>
    </row>
    <row r="90" spans="1:15" ht="66" x14ac:dyDescent="0.3">
      <c r="A90" s="11">
        <v>31</v>
      </c>
      <c r="B90" s="3" t="s">
        <v>398</v>
      </c>
      <c r="C90" s="3" t="s">
        <v>401</v>
      </c>
      <c r="D90" s="11" t="s">
        <v>611</v>
      </c>
      <c r="E90" s="3" t="s">
        <v>532</v>
      </c>
      <c r="F90" s="3" t="s">
        <v>770</v>
      </c>
      <c r="G90" s="11" t="s">
        <v>120</v>
      </c>
      <c r="H90" s="11" t="s">
        <v>230</v>
      </c>
      <c r="I90" s="3" t="s">
        <v>751</v>
      </c>
      <c r="J90" s="3" t="s">
        <v>771</v>
      </c>
      <c r="K90" s="3" t="s">
        <v>772</v>
      </c>
      <c r="L90" s="11">
        <v>200</v>
      </c>
      <c r="M90" s="11" t="s">
        <v>172</v>
      </c>
      <c r="N90" s="14" t="s">
        <v>117</v>
      </c>
      <c r="O90" s="11" t="s">
        <v>121</v>
      </c>
    </row>
    <row r="91" spans="1:15" ht="66" x14ac:dyDescent="0.3">
      <c r="A91" s="11">
        <v>31</v>
      </c>
      <c r="B91" s="3" t="s">
        <v>398</v>
      </c>
      <c r="C91" s="3" t="s">
        <v>401</v>
      </c>
      <c r="D91" s="11" t="s">
        <v>123</v>
      </c>
      <c r="E91" s="3" t="s">
        <v>594</v>
      </c>
      <c r="F91" s="3" t="s">
        <v>615</v>
      </c>
      <c r="G91" s="11" t="s">
        <v>123</v>
      </c>
      <c r="H91" s="11"/>
      <c r="I91" s="3" t="s">
        <v>616</v>
      </c>
      <c r="J91" s="3"/>
      <c r="K91" s="3" t="s">
        <v>773</v>
      </c>
      <c r="L91" s="11">
        <v>200</v>
      </c>
      <c r="M91" s="11" t="s">
        <v>172</v>
      </c>
      <c r="N91" s="14" t="s">
        <v>117</v>
      </c>
      <c r="O91" s="11" t="s">
        <v>121</v>
      </c>
    </row>
    <row r="92" spans="1:15" ht="39.6" x14ac:dyDescent="0.3">
      <c r="A92" s="11">
        <v>32</v>
      </c>
      <c r="B92" s="3" t="s">
        <v>408</v>
      </c>
      <c r="C92" s="3" t="s">
        <v>410</v>
      </c>
      <c r="D92" s="11" t="s">
        <v>607</v>
      </c>
      <c r="E92" s="3" t="s">
        <v>114</v>
      </c>
      <c r="F92" s="3" t="s">
        <v>411</v>
      </c>
      <c r="G92" s="11" t="s">
        <v>120</v>
      </c>
      <c r="H92" s="11" t="s">
        <v>116</v>
      </c>
      <c r="I92" s="3" t="s">
        <v>608</v>
      </c>
      <c r="J92" s="3"/>
      <c r="K92" s="3" t="s">
        <v>774</v>
      </c>
      <c r="L92" s="11">
        <v>200</v>
      </c>
      <c r="M92" s="11" t="s">
        <v>172</v>
      </c>
      <c r="N92" s="14" t="s">
        <v>117</v>
      </c>
      <c r="O92" s="11" t="s">
        <v>121</v>
      </c>
    </row>
    <row r="93" spans="1:15" ht="39.6" x14ac:dyDescent="0.3">
      <c r="A93" s="11">
        <v>32</v>
      </c>
      <c r="B93" s="3" t="s">
        <v>408</v>
      </c>
      <c r="C93" s="3" t="s">
        <v>410</v>
      </c>
      <c r="D93" s="11" t="s">
        <v>611</v>
      </c>
      <c r="E93" s="3" t="s">
        <v>532</v>
      </c>
      <c r="F93" s="3" t="s">
        <v>775</v>
      </c>
      <c r="G93" s="11" t="s">
        <v>429</v>
      </c>
      <c r="H93" s="11" t="s">
        <v>116</v>
      </c>
      <c r="I93" s="3" t="s">
        <v>776</v>
      </c>
      <c r="J93" s="3" t="s">
        <v>777</v>
      </c>
      <c r="K93" s="3" t="s">
        <v>778</v>
      </c>
      <c r="L93" s="11">
        <v>200</v>
      </c>
      <c r="M93" s="11" t="s">
        <v>172</v>
      </c>
      <c r="N93" s="14" t="s">
        <v>117</v>
      </c>
      <c r="O93" s="11" t="s">
        <v>121</v>
      </c>
    </row>
    <row r="94" spans="1:15" ht="39.6" x14ac:dyDescent="0.3">
      <c r="A94" s="11">
        <v>32</v>
      </c>
      <c r="B94" s="3" t="s">
        <v>408</v>
      </c>
      <c r="C94" s="3" t="s">
        <v>410</v>
      </c>
      <c r="D94" s="11" t="s">
        <v>123</v>
      </c>
      <c r="E94" s="3" t="s">
        <v>594</v>
      </c>
      <c r="F94" s="3" t="s">
        <v>615</v>
      </c>
      <c r="G94" s="11" t="s">
        <v>123</v>
      </c>
      <c r="H94" s="11"/>
      <c r="I94" s="3" t="s">
        <v>616</v>
      </c>
      <c r="J94" s="3"/>
      <c r="K94" s="3" t="s">
        <v>779</v>
      </c>
      <c r="L94" s="11">
        <v>200</v>
      </c>
      <c r="M94" s="11" t="s">
        <v>172</v>
      </c>
      <c r="N94" s="14" t="s">
        <v>117</v>
      </c>
      <c r="O94" s="11" t="s">
        <v>121</v>
      </c>
    </row>
    <row r="95" spans="1:15" ht="79.2" x14ac:dyDescent="0.3">
      <c r="A95" s="11">
        <v>34</v>
      </c>
      <c r="B95" s="3" t="s">
        <v>423</v>
      </c>
      <c r="C95" s="3" t="s">
        <v>426</v>
      </c>
      <c r="D95" s="11" t="s">
        <v>607</v>
      </c>
      <c r="E95" s="3" t="s">
        <v>228</v>
      </c>
      <c r="F95" s="3" t="s">
        <v>427</v>
      </c>
      <c r="G95" s="11" t="s">
        <v>429</v>
      </c>
      <c r="H95" s="11" t="s">
        <v>230</v>
      </c>
      <c r="I95" s="3"/>
      <c r="J95" s="3"/>
      <c r="K95" s="3" t="s">
        <v>780</v>
      </c>
      <c r="L95" s="11">
        <v>200</v>
      </c>
      <c r="M95" s="11" t="s">
        <v>172</v>
      </c>
      <c r="N95" s="14" t="s">
        <v>117</v>
      </c>
      <c r="O95" s="11" t="s">
        <v>121</v>
      </c>
    </row>
    <row r="96" spans="1:15" ht="79.2" x14ac:dyDescent="0.3">
      <c r="A96" s="11">
        <v>34</v>
      </c>
      <c r="B96" s="3" t="s">
        <v>423</v>
      </c>
      <c r="C96" s="3" t="s">
        <v>426</v>
      </c>
      <c r="D96" s="11" t="s">
        <v>611</v>
      </c>
      <c r="E96" s="3" t="s">
        <v>532</v>
      </c>
      <c r="F96" s="3" t="s">
        <v>781</v>
      </c>
      <c r="G96" s="11" t="s">
        <v>120</v>
      </c>
      <c r="H96" s="11" t="s">
        <v>230</v>
      </c>
      <c r="I96" s="3" t="s">
        <v>782</v>
      </c>
      <c r="J96" s="3" t="s">
        <v>783</v>
      </c>
      <c r="K96" s="3" t="s">
        <v>784</v>
      </c>
      <c r="L96" s="11">
        <v>200</v>
      </c>
      <c r="M96" s="11" t="s">
        <v>172</v>
      </c>
      <c r="N96" s="14" t="s">
        <v>117</v>
      </c>
      <c r="O96" s="11" t="s">
        <v>121</v>
      </c>
    </row>
    <row r="97" spans="1:15" ht="79.2" x14ac:dyDescent="0.3">
      <c r="A97" s="11">
        <v>34</v>
      </c>
      <c r="B97" s="3" t="s">
        <v>423</v>
      </c>
      <c r="C97" s="3" t="s">
        <v>426</v>
      </c>
      <c r="D97" s="11" t="s">
        <v>123</v>
      </c>
      <c r="E97" s="3" t="s">
        <v>594</v>
      </c>
      <c r="F97" s="3" t="s">
        <v>615</v>
      </c>
      <c r="G97" s="11" t="s">
        <v>123</v>
      </c>
      <c r="H97" s="11"/>
      <c r="I97" s="3" t="s">
        <v>616</v>
      </c>
      <c r="J97" s="3"/>
      <c r="K97" s="3" t="s">
        <v>785</v>
      </c>
      <c r="L97" s="11">
        <v>200</v>
      </c>
      <c r="M97" s="11" t="s">
        <v>172</v>
      </c>
      <c r="N97" s="14" t="s">
        <v>117</v>
      </c>
      <c r="O97" s="11" t="s">
        <v>121</v>
      </c>
    </row>
    <row r="98" spans="1:15" ht="52.8" x14ac:dyDescent="0.3">
      <c r="A98" s="11">
        <v>35</v>
      </c>
      <c r="B98" s="3" t="s">
        <v>434</v>
      </c>
      <c r="C98" s="3" t="s">
        <v>437</v>
      </c>
      <c r="D98" s="11" t="s">
        <v>611</v>
      </c>
      <c r="E98" s="3" t="s">
        <v>114</v>
      </c>
      <c r="F98" s="3" t="s">
        <v>786</v>
      </c>
      <c r="G98" s="11" t="s">
        <v>120</v>
      </c>
      <c r="H98" s="11" t="s">
        <v>116</v>
      </c>
      <c r="I98" s="3" t="s">
        <v>608</v>
      </c>
      <c r="J98" s="3" t="s">
        <v>787</v>
      </c>
      <c r="K98" s="3" t="s">
        <v>788</v>
      </c>
      <c r="L98" s="11">
        <v>200</v>
      </c>
      <c r="M98" s="11" t="s">
        <v>172</v>
      </c>
      <c r="N98" s="14" t="s">
        <v>117</v>
      </c>
      <c r="O98" s="11" t="s">
        <v>121</v>
      </c>
    </row>
    <row r="99" spans="1:15" ht="52.8" x14ac:dyDescent="0.3">
      <c r="A99" s="11">
        <v>35</v>
      </c>
      <c r="B99" s="3" t="s">
        <v>434</v>
      </c>
      <c r="C99" s="3" t="s">
        <v>437</v>
      </c>
      <c r="D99" s="11" t="s">
        <v>123</v>
      </c>
      <c r="E99" s="3" t="s">
        <v>594</v>
      </c>
      <c r="F99" s="3" t="s">
        <v>615</v>
      </c>
      <c r="G99" s="11" t="s">
        <v>123</v>
      </c>
      <c r="H99" s="11"/>
      <c r="I99" s="3" t="s">
        <v>616</v>
      </c>
      <c r="J99" s="3"/>
      <c r="K99" s="3" t="s">
        <v>789</v>
      </c>
      <c r="L99" s="11">
        <v>200</v>
      </c>
      <c r="M99" s="11" t="s">
        <v>172</v>
      </c>
      <c r="N99" s="14" t="s">
        <v>117</v>
      </c>
      <c r="O99" s="11" t="s">
        <v>121</v>
      </c>
    </row>
    <row r="100" spans="1:15" ht="52.8" x14ac:dyDescent="0.3">
      <c r="A100" s="11">
        <v>36</v>
      </c>
      <c r="B100" s="3" t="s">
        <v>444</v>
      </c>
      <c r="C100" s="3" t="s">
        <v>447</v>
      </c>
      <c r="D100" s="11" t="s">
        <v>607</v>
      </c>
      <c r="E100" s="3" t="s">
        <v>228</v>
      </c>
      <c r="F100" s="3" t="s">
        <v>448</v>
      </c>
      <c r="G100" s="11" t="s">
        <v>120</v>
      </c>
      <c r="H100" s="11" t="s">
        <v>116</v>
      </c>
      <c r="I100" s="3" t="s">
        <v>790</v>
      </c>
      <c r="J100" s="3" t="s">
        <v>791</v>
      </c>
      <c r="K100" s="3" t="s">
        <v>792</v>
      </c>
      <c r="L100" s="11">
        <v>200</v>
      </c>
      <c r="M100" s="11" t="s">
        <v>172</v>
      </c>
      <c r="N100" s="14" t="s">
        <v>117</v>
      </c>
      <c r="O100" s="11" t="s">
        <v>121</v>
      </c>
    </row>
    <row r="101" spans="1:15" ht="52.8" x14ac:dyDescent="0.3">
      <c r="A101" s="11">
        <v>36</v>
      </c>
      <c r="B101" s="3" t="s">
        <v>444</v>
      </c>
      <c r="C101" s="3" t="s">
        <v>447</v>
      </c>
      <c r="D101" s="11" t="s">
        <v>611</v>
      </c>
      <c r="E101" s="3" t="s">
        <v>114</v>
      </c>
      <c r="F101" s="3" t="s">
        <v>448</v>
      </c>
      <c r="G101" s="11" t="s">
        <v>120</v>
      </c>
      <c r="H101" s="11" t="s">
        <v>230</v>
      </c>
      <c r="I101" s="3" t="s">
        <v>793</v>
      </c>
      <c r="J101" s="3" t="s">
        <v>794</v>
      </c>
      <c r="K101" s="3" t="s">
        <v>795</v>
      </c>
      <c r="L101" s="11">
        <v>200</v>
      </c>
      <c r="M101" s="11" t="s">
        <v>172</v>
      </c>
      <c r="N101" s="14" t="s">
        <v>117</v>
      </c>
      <c r="O101" s="11" t="s">
        <v>121</v>
      </c>
    </row>
    <row r="102" spans="1:15" ht="52.8" x14ac:dyDescent="0.3">
      <c r="A102" s="11">
        <v>36</v>
      </c>
      <c r="B102" s="3" t="s">
        <v>444</v>
      </c>
      <c r="C102" s="3" t="s">
        <v>447</v>
      </c>
      <c r="D102" s="11" t="s">
        <v>123</v>
      </c>
      <c r="E102" s="3" t="s">
        <v>594</v>
      </c>
      <c r="F102" s="3" t="s">
        <v>615</v>
      </c>
      <c r="G102" s="11" t="s">
        <v>123</v>
      </c>
      <c r="H102" s="11"/>
      <c r="I102" s="3" t="s">
        <v>616</v>
      </c>
      <c r="J102" s="3"/>
      <c r="K102" s="3" t="s">
        <v>796</v>
      </c>
      <c r="L102" s="11">
        <v>200</v>
      </c>
      <c r="M102" s="11" t="s">
        <v>172</v>
      </c>
      <c r="N102" s="14" t="s">
        <v>117</v>
      </c>
      <c r="O102" s="11" t="s">
        <v>121</v>
      </c>
    </row>
    <row r="103" spans="1:15" ht="52.8" x14ac:dyDescent="0.3">
      <c r="A103" s="11">
        <v>37</v>
      </c>
      <c r="B103" s="3" t="s">
        <v>454</v>
      </c>
      <c r="C103" s="3" t="s">
        <v>456</v>
      </c>
      <c r="D103" s="11" t="s">
        <v>607</v>
      </c>
      <c r="E103" s="3" t="s">
        <v>114</v>
      </c>
      <c r="F103" s="3" t="s">
        <v>457</v>
      </c>
      <c r="G103" s="11" t="s">
        <v>120</v>
      </c>
      <c r="H103" s="11" t="s">
        <v>116</v>
      </c>
      <c r="I103" s="3" t="s">
        <v>608</v>
      </c>
      <c r="J103" s="3" t="s">
        <v>797</v>
      </c>
      <c r="K103" s="3" t="s">
        <v>798</v>
      </c>
      <c r="L103" s="11">
        <v>200</v>
      </c>
      <c r="M103" s="11" t="s">
        <v>172</v>
      </c>
      <c r="N103" s="14" t="s">
        <v>117</v>
      </c>
      <c r="O103" s="11" t="s">
        <v>121</v>
      </c>
    </row>
    <row r="104" spans="1:15" ht="52.8" x14ac:dyDescent="0.3">
      <c r="A104" s="11">
        <v>37</v>
      </c>
      <c r="B104" s="3" t="s">
        <v>454</v>
      </c>
      <c r="C104" s="3" t="s">
        <v>456</v>
      </c>
      <c r="D104" s="11" t="s">
        <v>611</v>
      </c>
      <c r="E104" s="3" t="s">
        <v>532</v>
      </c>
      <c r="F104" s="3" t="s">
        <v>457</v>
      </c>
      <c r="G104" s="11" t="s">
        <v>120</v>
      </c>
      <c r="H104" s="11" t="s">
        <v>116</v>
      </c>
      <c r="I104" s="3" t="s">
        <v>799</v>
      </c>
      <c r="J104" s="3" t="s">
        <v>800</v>
      </c>
      <c r="K104" s="3" t="s">
        <v>801</v>
      </c>
      <c r="L104" s="11">
        <v>200</v>
      </c>
      <c r="M104" s="11" t="s">
        <v>172</v>
      </c>
      <c r="N104" s="14" t="s">
        <v>117</v>
      </c>
      <c r="O104" s="11" t="s">
        <v>121</v>
      </c>
    </row>
    <row r="105" spans="1:15" ht="52.8" x14ac:dyDescent="0.3">
      <c r="A105" s="11">
        <v>37</v>
      </c>
      <c r="B105" s="3" t="s">
        <v>454</v>
      </c>
      <c r="C105" s="3" t="s">
        <v>456</v>
      </c>
      <c r="D105" s="11" t="s">
        <v>123</v>
      </c>
      <c r="E105" s="3" t="s">
        <v>594</v>
      </c>
      <c r="F105" s="3" t="s">
        <v>615</v>
      </c>
      <c r="G105" s="11" t="s">
        <v>123</v>
      </c>
      <c r="H105" s="11"/>
      <c r="I105" s="3" t="s">
        <v>616</v>
      </c>
      <c r="J105" s="3"/>
      <c r="K105" s="3" t="s">
        <v>802</v>
      </c>
      <c r="L105" s="11">
        <v>200</v>
      </c>
      <c r="M105" s="11" t="s">
        <v>172</v>
      </c>
      <c r="N105" s="14" t="s">
        <v>117</v>
      </c>
      <c r="O105" s="11" t="s">
        <v>121</v>
      </c>
    </row>
    <row r="106" spans="1:15" ht="39.6" x14ac:dyDescent="0.3">
      <c r="A106" s="11">
        <v>38</v>
      </c>
      <c r="B106" s="3" t="s">
        <v>463</v>
      </c>
      <c r="C106" s="3" t="s">
        <v>466</v>
      </c>
      <c r="D106" s="11" t="s">
        <v>607</v>
      </c>
      <c r="E106" s="3" t="s">
        <v>228</v>
      </c>
      <c r="F106" s="3" t="s">
        <v>467</v>
      </c>
      <c r="G106" s="11" t="s">
        <v>120</v>
      </c>
      <c r="H106" s="11" t="s">
        <v>116</v>
      </c>
      <c r="I106" s="3" t="s">
        <v>803</v>
      </c>
      <c r="J106" s="3" t="s">
        <v>804</v>
      </c>
      <c r="K106" s="3" t="s">
        <v>805</v>
      </c>
      <c r="L106" s="11">
        <v>200</v>
      </c>
      <c r="M106" s="11" t="s">
        <v>172</v>
      </c>
      <c r="N106" s="14" t="s">
        <v>117</v>
      </c>
      <c r="O106" s="11" t="s">
        <v>121</v>
      </c>
    </row>
    <row r="107" spans="1:15" ht="39.6" x14ac:dyDescent="0.3">
      <c r="A107" s="11">
        <v>38</v>
      </c>
      <c r="B107" s="3" t="s">
        <v>463</v>
      </c>
      <c r="C107" s="3" t="s">
        <v>466</v>
      </c>
      <c r="D107" s="11" t="s">
        <v>611</v>
      </c>
      <c r="E107" s="3" t="s">
        <v>114</v>
      </c>
      <c r="F107" s="3" t="s">
        <v>806</v>
      </c>
      <c r="G107" s="11" t="s">
        <v>120</v>
      </c>
      <c r="H107" s="11" t="s">
        <v>230</v>
      </c>
      <c r="I107" s="3" t="s">
        <v>793</v>
      </c>
      <c r="J107" s="3" t="s">
        <v>807</v>
      </c>
      <c r="K107" s="3" t="s">
        <v>808</v>
      </c>
      <c r="L107" s="11">
        <v>200</v>
      </c>
      <c r="M107" s="11" t="s">
        <v>172</v>
      </c>
      <c r="N107" s="14" t="s">
        <v>117</v>
      </c>
      <c r="O107" s="11" t="s">
        <v>121</v>
      </c>
    </row>
    <row r="108" spans="1:15" ht="26.4" x14ac:dyDescent="0.3">
      <c r="A108" s="11">
        <v>38</v>
      </c>
      <c r="B108" s="3" t="s">
        <v>463</v>
      </c>
      <c r="C108" s="3" t="s">
        <v>466</v>
      </c>
      <c r="D108" s="11" t="s">
        <v>809</v>
      </c>
      <c r="E108" s="3" t="s">
        <v>532</v>
      </c>
      <c r="F108" s="3" t="s">
        <v>810</v>
      </c>
      <c r="G108" s="11" t="s">
        <v>120</v>
      </c>
      <c r="H108" s="11" t="s">
        <v>230</v>
      </c>
      <c r="I108" s="3" t="s">
        <v>811</v>
      </c>
      <c r="J108" s="3" t="s">
        <v>812</v>
      </c>
      <c r="K108" s="3" t="s">
        <v>813</v>
      </c>
      <c r="L108" s="11">
        <v>200</v>
      </c>
      <c r="M108" s="11" t="s">
        <v>172</v>
      </c>
      <c r="N108" s="14" t="s">
        <v>117</v>
      </c>
      <c r="O108" s="11" t="s">
        <v>121</v>
      </c>
    </row>
    <row r="109" spans="1:15" ht="26.4" x14ac:dyDescent="0.3">
      <c r="A109" s="11">
        <v>38</v>
      </c>
      <c r="B109" s="3" t="s">
        <v>463</v>
      </c>
      <c r="C109" s="3" t="s">
        <v>466</v>
      </c>
      <c r="D109" s="11" t="s">
        <v>123</v>
      </c>
      <c r="E109" s="3" t="s">
        <v>594</v>
      </c>
      <c r="F109" s="3" t="s">
        <v>615</v>
      </c>
      <c r="G109" s="11" t="s">
        <v>123</v>
      </c>
      <c r="H109" s="11"/>
      <c r="I109" s="3" t="s">
        <v>616</v>
      </c>
      <c r="J109" s="3"/>
      <c r="K109" s="3" t="s">
        <v>814</v>
      </c>
      <c r="L109" s="11">
        <v>200</v>
      </c>
      <c r="M109" s="11" t="s">
        <v>172</v>
      </c>
      <c r="N109" s="14" t="s">
        <v>117</v>
      </c>
      <c r="O109" s="11" t="s">
        <v>121</v>
      </c>
    </row>
    <row r="110" spans="1:15" ht="39.6" x14ac:dyDescent="0.3">
      <c r="A110" s="11">
        <v>39</v>
      </c>
      <c r="B110" s="3" t="s">
        <v>473</v>
      </c>
      <c r="C110" s="3" t="s">
        <v>476</v>
      </c>
      <c r="D110" s="11" t="s">
        <v>611</v>
      </c>
      <c r="E110" s="3" t="s">
        <v>815</v>
      </c>
      <c r="F110" s="3" t="s">
        <v>816</v>
      </c>
      <c r="G110" s="11" t="s">
        <v>120</v>
      </c>
      <c r="H110" s="11" t="s">
        <v>116</v>
      </c>
      <c r="I110" s="3"/>
      <c r="J110" s="3"/>
      <c r="K110" s="3" t="s">
        <v>817</v>
      </c>
      <c r="L110" s="11">
        <v>200</v>
      </c>
      <c r="M110" s="11" t="s">
        <v>172</v>
      </c>
      <c r="N110" s="14" t="s">
        <v>117</v>
      </c>
      <c r="O110" s="11" t="s">
        <v>121</v>
      </c>
    </row>
    <row r="111" spans="1:15" ht="39.6" x14ac:dyDescent="0.3">
      <c r="A111" s="11">
        <v>39</v>
      </c>
      <c r="B111" s="3" t="s">
        <v>473</v>
      </c>
      <c r="C111" s="3" t="s">
        <v>476</v>
      </c>
      <c r="D111" s="11" t="s">
        <v>123</v>
      </c>
      <c r="E111" s="3" t="s">
        <v>594</v>
      </c>
      <c r="F111" s="3" t="s">
        <v>615</v>
      </c>
      <c r="G111" s="11" t="s">
        <v>123</v>
      </c>
      <c r="H111" s="11"/>
      <c r="I111" s="3" t="s">
        <v>616</v>
      </c>
      <c r="J111" s="3"/>
      <c r="K111" s="3" t="s">
        <v>818</v>
      </c>
      <c r="L111" s="11">
        <v>200</v>
      </c>
      <c r="M111" s="11" t="s">
        <v>172</v>
      </c>
      <c r="N111" s="14" t="s">
        <v>117</v>
      </c>
      <c r="O111" s="11" t="s">
        <v>121</v>
      </c>
    </row>
    <row r="112" spans="1:15" ht="39.6" x14ac:dyDescent="0.3">
      <c r="A112" s="11" t="s">
        <v>819</v>
      </c>
      <c r="B112" s="3" t="s">
        <v>820</v>
      </c>
      <c r="C112" s="3" t="s">
        <v>494</v>
      </c>
      <c r="D112" s="11" t="s">
        <v>821</v>
      </c>
      <c r="E112" s="3" t="s">
        <v>496</v>
      </c>
      <c r="F112" s="3" t="s">
        <v>822</v>
      </c>
      <c r="G112" s="11" t="s">
        <v>821</v>
      </c>
      <c r="H112" s="11" t="s">
        <v>116</v>
      </c>
      <c r="I112" s="3" t="s">
        <v>608</v>
      </c>
      <c r="J112" s="3" t="s">
        <v>735</v>
      </c>
      <c r="K112" s="3" t="s">
        <v>736</v>
      </c>
      <c r="L112" s="11">
        <v>200</v>
      </c>
      <c r="M112" s="11" t="s">
        <v>172</v>
      </c>
      <c r="N112" s="14" t="s">
        <v>117</v>
      </c>
      <c r="O112" s="11" t="s">
        <v>121</v>
      </c>
    </row>
    <row r="113" spans="1:15" ht="39.6" x14ac:dyDescent="0.3">
      <c r="A113" s="11" t="s">
        <v>823</v>
      </c>
      <c r="B113" s="3" t="s">
        <v>507</v>
      </c>
      <c r="C113" s="3" t="s">
        <v>508</v>
      </c>
      <c r="D113" s="11" t="s">
        <v>607</v>
      </c>
      <c r="E113" s="3" t="s">
        <v>510</v>
      </c>
      <c r="F113" s="3" t="s">
        <v>511</v>
      </c>
      <c r="G113" s="11" t="s">
        <v>824</v>
      </c>
      <c r="H113" s="11" t="s">
        <v>116</v>
      </c>
      <c r="I113" s="3" t="s">
        <v>825</v>
      </c>
      <c r="J113" s="3"/>
      <c r="K113" s="3" t="s">
        <v>826</v>
      </c>
      <c r="L113" s="11">
        <v>200</v>
      </c>
      <c r="M113" s="11" t="s">
        <v>172</v>
      </c>
      <c r="N113" s="14" t="s">
        <v>117</v>
      </c>
      <c r="O113" s="11" t="s">
        <v>121</v>
      </c>
    </row>
    <row r="114" spans="1:15" ht="52.8" x14ac:dyDescent="0.3">
      <c r="A114" s="11" t="s">
        <v>823</v>
      </c>
      <c r="B114" s="3" t="s">
        <v>507</v>
      </c>
      <c r="C114" s="3" t="s">
        <v>508</v>
      </c>
      <c r="D114" s="11" t="s">
        <v>611</v>
      </c>
      <c r="E114" s="3" t="s">
        <v>827</v>
      </c>
      <c r="F114" s="3" t="s">
        <v>828</v>
      </c>
      <c r="G114" s="11" t="s">
        <v>824</v>
      </c>
      <c r="H114" s="11" t="s">
        <v>116</v>
      </c>
      <c r="I114" s="3" t="s">
        <v>825</v>
      </c>
      <c r="J114" s="3"/>
      <c r="K114" s="3" t="s">
        <v>829</v>
      </c>
      <c r="L114" s="11">
        <v>200</v>
      </c>
      <c r="M114" s="11" t="s">
        <v>172</v>
      </c>
      <c r="N114" s="14" t="s">
        <v>117</v>
      </c>
      <c r="O114" s="11" t="s">
        <v>121</v>
      </c>
    </row>
    <row r="115" spans="1:15" ht="39.6" x14ac:dyDescent="0.3">
      <c r="A115" s="11" t="s">
        <v>830</v>
      </c>
      <c r="B115" s="3" t="s">
        <v>516</v>
      </c>
      <c r="C115" s="3" t="s">
        <v>517</v>
      </c>
      <c r="D115" s="11" t="s">
        <v>607</v>
      </c>
      <c r="E115" s="3" t="s">
        <v>114</v>
      </c>
      <c r="F115" s="3" t="s">
        <v>519</v>
      </c>
      <c r="G115" s="11" t="s">
        <v>120</v>
      </c>
      <c r="H115" s="11" t="s">
        <v>116</v>
      </c>
      <c r="I115" s="3" t="s">
        <v>608</v>
      </c>
      <c r="J115" s="3" t="s">
        <v>831</v>
      </c>
      <c r="K115" s="3" t="s">
        <v>832</v>
      </c>
      <c r="L115" s="11">
        <v>200</v>
      </c>
      <c r="M115" s="11" t="s">
        <v>172</v>
      </c>
      <c r="N115" s="14" t="s">
        <v>117</v>
      </c>
      <c r="O115" s="11" t="s">
        <v>121</v>
      </c>
    </row>
    <row r="116" spans="1:15" ht="39.6" x14ac:dyDescent="0.3">
      <c r="A116" s="11" t="s">
        <v>833</v>
      </c>
      <c r="B116" s="3" t="s">
        <v>523</v>
      </c>
      <c r="C116" s="3" t="s">
        <v>524</v>
      </c>
      <c r="D116" s="11" t="s">
        <v>607</v>
      </c>
      <c r="E116" s="3" t="s">
        <v>114</v>
      </c>
      <c r="F116" s="3" t="s">
        <v>526</v>
      </c>
      <c r="G116" s="11" t="s">
        <v>120</v>
      </c>
      <c r="H116" s="11" t="s">
        <v>116</v>
      </c>
      <c r="I116" s="3" t="s">
        <v>608</v>
      </c>
      <c r="J116" s="3" t="s">
        <v>834</v>
      </c>
      <c r="K116" s="3" t="s">
        <v>835</v>
      </c>
      <c r="L116" s="11">
        <v>200</v>
      </c>
      <c r="M116" s="11" t="s">
        <v>172</v>
      </c>
      <c r="N116" s="14" t="s">
        <v>117</v>
      </c>
      <c r="O116" s="11" t="s">
        <v>121</v>
      </c>
    </row>
    <row r="117" spans="1:15" ht="39.6" x14ac:dyDescent="0.3">
      <c r="A117" s="11" t="s">
        <v>836</v>
      </c>
      <c r="B117" s="3" t="s">
        <v>529</v>
      </c>
      <c r="C117" s="3" t="s">
        <v>530</v>
      </c>
      <c r="D117" s="11" t="s">
        <v>607</v>
      </c>
      <c r="E117" s="3" t="s">
        <v>532</v>
      </c>
      <c r="F117" s="3" t="s">
        <v>533</v>
      </c>
      <c r="G117" s="11" t="s">
        <v>120</v>
      </c>
      <c r="H117" s="11" t="s">
        <v>116</v>
      </c>
      <c r="I117" s="3" t="s">
        <v>837</v>
      </c>
      <c r="J117" s="3" t="s">
        <v>838</v>
      </c>
      <c r="K117" s="3" t="s">
        <v>839</v>
      </c>
      <c r="L117" s="11">
        <v>200</v>
      </c>
      <c r="M117" s="11" t="s">
        <v>172</v>
      </c>
      <c r="N117" s="14" t="s">
        <v>117</v>
      </c>
      <c r="O117" s="11" t="s">
        <v>121</v>
      </c>
    </row>
    <row r="118" spans="1:15" ht="66" x14ac:dyDescent="0.3">
      <c r="A118" s="11" t="s">
        <v>836</v>
      </c>
      <c r="B118" s="3" t="s">
        <v>529</v>
      </c>
      <c r="C118" s="3" t="s">
        <v>530</v>
      </c>
      <c r="D118" s="11" t="s">
        <v>611</v>
      </c>
      <c r="E118" s="3" t="s">
        <v>549</v>
      </c>
      <c r="F118" s="3" t="s">
        <v>840</v>
      </c>
      <c r="G118" s="11" t="s">
        <v>120</v>
      </c>
      <c r="H118" s="11" t="s">
        <v>116</v>
      </c>
      <c r="I118" s="3" t="s">
        <v>841</v>
      </c>
      <c r="J118" s="3" t="s">
        <v>842</v>
      </c>
      <c r="K118" s="3" t="s">
        <v>843</v>
      </c>
      <c r="L118" s="11">
        <v>200</v>
      </c>
      <c r="M118" s="11" t="s">
        <v>172</v>
      </c>
      <c r="N118" s="14" t="s">
        <v>117</v>
      </c>
      <c r="O118" s="11" t="s">
        <v>121</v>
      </c>
    </row>
    <row r="119" spans="1:15" ht="39.6" x14ac:dyDescent="0.3">
      <c r="A119" s="11" t="s">
        <v>844</v>
      </c>
      <c r="B119" s="3" t="s">
        <v>538</v>
      </c>
      <c r="C119" s="3" t="s">
        <v>539</v>
      </c>
      <c r="D119" s="11" t="s">
        <v>607</v>
      </c>
      <c r="E119" s="3" t="s">
        <v>532</v>
      </c>
      <c r="F119" s="3" t="s">
        <v>541</v>
      </c>
      <c r="G119" s="11" t="s">
        <v>824</v>
      </c>
      <c r="H119" s="11" t="s">
        <v>116</v>
      </c>
      <c r="I119" s="3" t="s">
        <v>845</v>
      </c>
      <c r="J119" s="3" t="s">
        <v>846</v>
      </c>
      <c r="K119" s="3" t="s">
        <v>847</v>
      </c>
      <c r="L119" s="11">
        <v>200</v>
      </c>
      <c r="M119" s="11" t="s">
        <v>172</v>
      </c>
      <c r="N119" s="14" t="s">
        <v>117</v>
      </c>
      <c r="O119" s="11" t="s">
        <v>121</v>
      </c>
    </row>
    <row r="120" spans="1:15" ht="52.8" x14ac:dyDescent="0.3">
      <c r="A120" s="11" t="s">
        <v>844</v>
      </c>
      <c r="B120" s="3" t="s">
        <v>538</v>
      </c>
      <c r="C120" s="3" t="s">
        <v>539</v>
      </c>
      <c r="D120" s="11" t="s">
        <v>611</v>
      </c>
      <c r="E120" s="3" t="s">
        <v>549</v>
      </c>
      <c r="F120" s="3" t="s">
        <v>848</v>
      </c>
      <c r="G120" s="11" t="s">
        <v>824</v>
      </c>
      <c r="H120" s="11" t="s">
        <v>230</v>
      </c>
      <c r="I120" s="3" t="s">
        <v>849</v>
      </c>
      <c r="J120" s="3" t="s">
        <v>850</v>
      </c>
      <c r="K120" s="3" t="s">
        <v>851</v>
      </c>
      <c r="L120" s="11">
        <v>200</v>
      </c>
      <c r="M120" s="11" t="s">
        <v>172</v>
      </c>
      <c r="N120" s="14" t="s">
        <v>117</v>
      </c>
      <c r="O120" s="11" t="s">
        <v>121</v>
      </c>
    </row>
    <row r="121" spans="1:15" ht="52.8" x14ac:dyDescent="0.3">
      <c r="A121" s="11" t="s">
        <v>852</v>
      </c>
      <c r="B121" s="3" t="s">
        <v>546</v>
      </c>
      <c r="C121" s="3" t="s">
        <v>547</v>
      </c>
      <c r="D121" s="11" t="s">
        <v>607</v>
      </c>
      <c r="E121" s="3" t="s">
        <v>549</v>
      </c>
      <c r="F121" s="3" t="s">
        <v>550</v>
      </c>
      <c r="G121" s="11" t="s">
        <v>824</v>
      </c>
      <c r="H121" s="11" t="s">
        <v>116</v>
      </c>
      <c r="I121" s="3" t="s">
        <v>853</v>
      </c>
      <c r="J121" s="3" t="s">
        <v>854</v>
      </c>
      <c r="K121" s="3" t="s">
        <v>855</v>
      </c>
      <c r="L121" s="11">
        <v>200</v>
      </c>
      <c r="M121" s="11" t="s">
        <v>172</v>
      </c>
      <c r="N121" s="14" t="s">
        <v>117</v>
      </c>
      <c r="O121" s="11" t="s">
        <v>121</v>
      </c>
    </row>
    <row r="122" spans="1:15" ht="52.8" x14ac:dyDescent="0.3">
      <c r="A122" s="11" t="s">
        <v>852</v>
      </c>
      <c r="B122" s="3" t="s">
        <v>546</v>
      </c>
      <c r="C122" s="3" t="s">
        <v>547</v>
      </c>
      <c r="D122" s="11" t="s">
        <v>611</v>
      </c>
      <c r="E122" s="3" t="s">
        <v>532</v>
      </c>
      <c r="F122" s="3" t="s">
        <v>856</v>
      </c>
      <c r="G122" s="11" t="s">
        <v>824</v>
      </c>
      <c r="H122" s="11" t="s">
        <v>116</v>
      </c>
      <c r="I122" s="3" t="s">
        <v>857</v>
      </c>
      <c r="J122" s="3" t="s">
        <v>858</v>
      </c>
      <c r="K122" s="3" t="s">
        <v>859</v>
      </c>
      <c r="L122" s="11">
        <v>200</v>
      </c>
      <c r="M122" s="11" t="s">
        <v>172</v>
      </c>
      <c r="N122" s="14" t="s">
        <v>117</v>
      </c>
      <c r="O122" s="11" t="s">
        <v>121</v>
      </c>
    </row>
    <row r="123" spans="1:15" ht="52.8" x14ac:dyDescent="0.3">
      <c r="A123" s="11" t="s">
        <v>860</v>
      </c>
      <c r="B123" s="3" t="s">
        <v>555</v>
      </c>
      <c r="C123" s="3" t="s">
        <v>556</v>
      </c>
      <c r="D123" s="11" t="s">
        <v>607</v>
      </c>
      <c r="E123" s="3" t="s">
        <v>549</v>
      </c>
      <c r="F123" s="3" t="s">
        <v>558</v>
      </c>
      <c r="G123" s="11" t="s">
        <v>824</v>
      </c>
      <c r="H123" s="11" t="s">
        <v>116</v>
      </c>
      <c r="I123" s="3"/>
      <c r="J123" s="3" t="s">
        <v>861</v>
      </c>
      <c r="K123" s="3" t="s">
        <v>862</v>
      </c>
      <c r="L123" s="11">
        <v>200</v>
      </c>
      <c r="M123" s="11" t="s">
        <v>172</v>
      </c>
      <c r="N123" s="14" t="s">
        <v>117</v>
      </c>
      <c r="O123" s="11" t="s">
        <v>121</v>
      </c>
    </row>
    <row r="124" spans="1:15" ht="52.8" x14ac:dyDescent="0.3">
      <c r="A124" s="11" t="s">
        <v>860</v>
      </c>
      <c r="B124" s="3" t="s">
        <v>555</v>
      </c>
      <c r="C124" s="3" t="s">
        <v>556</v>
      </c>
      <c r="D124" s="11" t="s">
        <v>611</v>
      </c>
      <c r="E124" s="3" t="s">
        <v>532</v>
      </c>
      <c r="F124" s="3" t="s">
        <v>863</v>
      </c>
      <c r="G124" s="11" t="s">
        <v>824</v>
      </c>
      <c r="H124" s="11" t="s">
        <v>116</v>
      </c>
      <c r="I124" s="3" t="s">
        <v>864</v>
      </c>
      <c r="J124" s="3" t="s">
        <v>865</v>
      </c>
      <c r="K124" s="3" t="s">
        <v>866</v>
      </c>
      <c r="L124" s="11">
        <v>200</v>
      </c>
      <c r="M124" s="11" t="s">
        <v>172</v>
      </c>
      <c r="N124" s="14" t="s">
        <v>117</v>
      </c>
      <c r="O124" s="11" t="s">
        <v>121</v>
      </c>
    </row>
    <row r="125" spans="1:15" ht="39.6" x14ac:dyDescent="0.3">
      <c r="A125" s="11" t="s">
        <v>867</v>
      </c>
      <c r="B125" s="3" t="s">
        <v>563</v>
      </c>
      <c r="C125" s="3" t="s">
        <v>564</v>
      </c>
      <c r="D125" s="11" t="s">
        <v>607</v>
      </c>
      <c r="E125" s="3" t="s">
        <v>566</v>
      </c>
      <c r="F125" s="3" t="s">
        <v>567</v>
      </c>
      <c r="G125" s="11" t="s">
        <v>824</v>
      </c>
      <c r="H125" s="11" t="s">
        <v>116</v>
      </c>
      <c r="I125" s="3" t="s">
        <v>825</v>
      </c>
      <c r="J125" s="3"/>
      <c r="K125" s="3" t="s">
        <v>868</v>
      </c>
      <c r="L125" s="11">
        <v>200</v>
      </c>
      <c r="M125" s="11" t="s">
        <v>172</v>
      </c>
      <c r="N125" s="14" t="s">
        <v>117</v>
      </c>
      <c r="O125" s="11" t="s">
        <v>121</v>
      </c>
    </row>
    <row r="126" spans="1:15" ht="39.6" x14ac:dyDescent="0.3">
      <c r="A126" s="11" t="s">
        <v>867</v>
      </c>
      <c r="B126" s="3" t="s">
        <v>563</v>
      </c>
      <c r="C126" s="3" t="s">
        <v>564</v>
      </c>
      <c r="D126" s="11" t="s">
        <v>611</v>
      </c>
      <c r="E126" s="3" t="s">
        <v>869</v>
      </c>
      <c r="F126" s="3" t="s">
        <v>870</v>
      </c>
      <c r="G126" s="11" t="s">
        <v>824</v>
      </c>
      <c r="H126" s="11" t="s">
        <v>116</v>
      </c>
      <c r="I126" s="3" t="s">
        <v>608</v>
      </c>
      <c r="J126" s="3"/>
      <c r="K126" s="3" t="s">
        <v>871</v>
      </c>
      <c r="L126" s="11">
        <v>200</v>
      </c>
      <c r="M126" s="11" t="s">
        <v>172</v>
      </c>
      <c r="N126" s="14" t="s">
        <v>117</v>
      </c>
      <c r="O126" s="11" t="s">
        <v>121</v>
      </c>
    </row>
    <row r="127" spans="1:15" ht="79.2" x14ac:dyDescent="0.3">
      <c r="A127" s="11" t="s">
        <v>872</v>
      </c>
      <c r="B127" s="3" t="s">
        <v>572</v>
      </c>
      <c r="C127" s="3" t="s">
        <v>573</v>
      </c>
      <c r="D127" s="11" t="s">
        <v>607</v>
      </c>
      <c r="E127" s="3" t="s">
        <v>549</v>
      </c>
      <c r="F127" s="3" t="s">
        <v>575</v>
      </c>
      <c r="G127" s="11" t="s">
        <v>824</v>
      </c>
      <c r="H127" s="11" t="s">
        <v>116</v>
      </c>
      <c r="I127" s="3" t="s">
        <v>873</v>
      </c>
      <c r="J127" s="3" t="s">
        <v>874</v>
      </c>
      <c r="K127" s="3" t="s">
        <v>875</v>
      </c>
      <c r="L127" s="11">
        <v>200</v>
      </c>
      <c r="M127" s="11" t="s">
        <v>172</v>
      </c>
      <c r="N127" s="14" t="s">
        <v>117</v>
      </c>
      <c r="O127" s="11" t="s">
        <v>121</v>
      </c>
    </row>
    <row r="128" spans="1:15" ht="79.2" x14ac:dyDescent="0.3">
      <c r="A128" s="11" t="s">
        <v>872</v>
      </c>
      <c r="B128" s="3" t="s">
        <v>572</v>
      </c>
      <c r="C128" s="3" t="s">
        <v>573</v>
      </c>
      <c r="D128" s="11" t="s">
        <v>611</v>
      </c>
      <c r="E128" s="3" t="s">
        <v>876</v>
      </c>
      <c r="F128" s="3" t="s">
        <v>877</v>
      </c>
      <c r="G128" s="11" t="s">
        <v>824</v>
      </c>
      <c r="H128" s="11" t="s">
        <v>116</v>
      </c>
      <c r="I128" s="3" t="s">
        <v>608</v>
      </c>
      <c r="J128" s="3"/>
      <c r="K128" s="3" t="s">
        <v>878</v>
      </c>
      <c r="L128" s="11">
        <v>200</v>
      </c>
      <c r="M128" s="11" t="s">
        <v>172</v>
      </c>
      <c r="N128" s="14" t="s">
        <v>117</v>
      </c>
      <c r="O128" s="11" t="s">
        <v>121</v>
      </c>
    </row>
    <row r="130" spans="1:15" ht="45" customHeight="1" x14ac:dyDescent="0.3">
      <c r="A130" s="36" t="s">
        <v>879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5"/>
    </row>
  </sheetData>
  <autoFilter ref="A1:O128" xr:uid="{00000000-0009-0000-0000-000006000000}"/>
  <mergeCells count="1">
    <mergeCell ref="A130:O130"/>
  </mergeCells>
  <conditionalFormatting sqref="H2:H128">
    <cfRule type="expression" dxfId="6" priority="1">
      <formula>$H2="в наявності"</formula>
    </cfRule>
    <cfRule type="expression" dxfId="5" priority="2">
      <formula>$H2="з набору"</formula>
    </cfRule>
    <cfRule type="expression" dxfId="4" priority="3">
      <formula>$H2="під замовлення"</formula>
    </cfRule>
    <cfRule type="expression" dxfId="3" priority="4">
      <formula>LEFT($H2,5)="немає"</formula>
    </cfRule>
    <cfRule type="expression" dxfId="2" priority="5">
      <formula>LEFT($H2,7)="набору "</formula>
    </cfRule>
    <cfRule type="expression" dxfId="1" priority="6">
      <formula>$H2="є у власника"</formula>
    </cfRule>
    <cfRule type="expression" dxfId="0" priority="7">
      <formula>$H2="не купується"</formula>
    </cfRule>
  </conditionalFormatting>
  <hyperlinks>
    <hyperlink ref="N2" r:id="rId1" xr:uid="{00000000-0004-0000-0600-000000000000}"/>
    <hyperlink ref="N3" r:id="rId2" xr:uid="{00000000-0004-0000-0600-000001000000}"/>
    <hyperlink ref="N4" r:id="rId3" xr:uid="{00000000-0004-0000-0600-000002000000}"/>
    <hyperlink ref="N5" r:id="rId4" xr:uid="{00000000-0004-0000-0600-000003000000}"/>
    <hyperlink ref="N6" r:id="rId5" xr:uid="{00000000-0004-0000-0600-000004000000}"/>
    <hyperlink ref="N7" r:id="rId6" xr:uid="{00000000-0004-0000-0600-000005000000}"/>
    <hyperlink ref="N8" r:id="rId7" xr:uid="{00000000-0004-0000-0600-000006000000}"/>
    <hyperlink ref="N9" r:id="rId8" xr:uid="{00000000-0004-0000-0600-000007000000}"/>
    <hyperlink ref="N10" r:id="rId9" xr:uid="{00000000-0004-0000-0600-000008000000}"/>
    <hyperlink ref="N11" r:id="rId10" xr:uid="{00000000-0004-0000-0600-000009000000}"/>
    <hyperlink ref="N12" r:id="rId11" xr:uid="{00000000-0004-0000-0600-00000A000000}"/>
    <hyperlink ref="N13" r:id="rId12" xr:uid="{00000000-0004-0000-0600-00000B000000}"/>
    <hyperlink ref="N14" r:id="rId13" xr:uid="{00000000-0004-0000-0600-00000C000000}"/>
    <hyperlink ref="N15" r:id="rId14" xr:uid="{00000000-0004-0000-0600-00000D000000}"/>
    <hyperlink ref="N16" r:id="rId15" xr:uid="{00000000-0004-0000-0600-00000E000000}"/>
    <hyperlink ref="N17" r:id="rId16" xr:uid="{00000000-0004-0000-0600-00000F000000}"/>
    <hyperlink ref="N18" r:id="rId17" xr:uid="{00000000-0004-0000-0600-000010000000}"/>
    <hyperlink ref="N19" r:id="rId18" xr:uid="{00000000-0004-0000-0600-000011000000}"/>
    <hyperlink ref="N20" r:id="rId19" xr:uid="{00000000-0004-0000-0600-000012000000}"/>
    <hyperlink ref="N21" r:id="rId20" xr:uid="{00000000-0004-0000-0600-000013000000}"/>
    <hyperlink ref="N22" r:id="rId21" xr:uid="{00000000-0004-0000-0600-000014000000}"/>
    <hyperlink ref="N23" r:id="rId22" xr:uid="{00000000-0004-0000-0600-000015000000}"/>
    <hyperlink ref="N24" r:id="rId23" xr:uid="{00000000-0004-0000-0600-000016000000}"/>
    <hyperlink ref="N25" r:id="rId24" xr:uid="{00000000-0004-0000-0600-000017000000}"/>
    <hyperlink ref="N26" r:id="rId25" xr:uid="{00000000-0004-0000-0600-000018000000}"/>
    <hyperlink ref="N27" r:id="rId26" xr:uid="{00000000-0004-0000-0600-000019000000}"/>
    <hyperlink ref="N28" r:id="rId27" xr:uid="{00000000-0004-0000-0600-00001A000000}"/>
    <hyperlink ref="N29" r:id="rId28" xr:uid="{00000000-0004-0000-0600-00001B000000}"/>
    <hyperlink ref="N30" r:id="rId29" xr:uid="{00000000-0004-0000-0600-00001C000000}"/>
    <hyperlink ref="N31" r:id="rId30" xr:uid="{00000000-0004-0000-0600-00001D000000}"/>
    <hyperlink ref="N32" r:id="rId31" xr:uid="{00000000-0004-0000-0600-00001E000000}"/>
    <hyperlink ref="N33" r:id="rId32" xr:uid="{00000000-0004-0000-0600-00001F000000}"/>
    <hyperlink ref="N34" r:id="rId33" xr:uid="{00000000-0004-0000-0600-000020000000}"/>
    <hyperlink ref="N35" r:id="rId34" xr:uid="{00000000-0004-0000-0600-000021000000}"/>
    <hyperlink ref="N36" r:id="rId35" xr:uid="{00000000-0004-0000-0600-000022000000}"/>
    <hyperlink ref="N37" r:id="rId36" xr:uid="{00000000-0004-0000-0600-000023000000}"/>
    <hyperlink ref="N38" r:id="rId37" xr:uid="{00000000-0004-0000-0600-000024000000}"/>
    <hyperlink ref="N39" r:id="rId38" xr:uid="{00000000-0004-0000-0600-000025000000}"/>
    <hyperlink ref="N40" r:id="rId39" xr:uid="{00000000-0004-0000-0600-000026000000}"/>
    <hyperlink ref="N41" r:id="rId40" xr:uid="{00000000-0004-0000-0600-000027000000}"/>
    <hyperlink ref="N42" r:id="rId41" xr:uid="{00000000-0004-0000-0600-000028000000}"/>
    <hyperlink ref="N43" r:id="rId42" xr:uid="{00000000-0004-0000-0600-000029000000}"/>
    <hyperlink ref="N44" r:id="rId43" xr:uid="{00000000-0004-0000-0600-00002A000000}"/>
    <hyperlink ref="N45" r:id="rId44" xr:uid="{00000000-0004-0000-0600-00002B000000}"/>
    <hyperlink ref="N46" r:id="rId45" xr:uid="{00000000-0004-0000-0600-00002C000000}"/>
    <hyperlink ref="N47" r:id="rId46" xr:uid="{00000000-0004-0000-0600-00002D000000}"/>
    <hyperlink ref="N48" r:id="rId47" xr:uid="{00000000-0004-0000-0600-00002E000000}"/>
    <hyperlink ref="N49" r:id="rId48" xr:uid="{00000000-0004-0000-0600-00002F000000}"/>
    <hyperlink ref="N50" r:id="rId49" xr:uid="{00000000-0004-0000-0600-000030000000}"/>
    <hyperlink ref="N51" r:id="rId50" xr:uid="{00000000-0004-0000-0600-000031000000}"/>
    <hyperlink ref="N52" r:id="rId51" xr:uid="{00000000-0004-0000-0600-000032000000}"/>
    <hyperlink ref="N53" r:id="rId52" xr:uid="{00000000-0004-0000-0600-000033000000}"/>
    <hyperlink ref="N54" r:id="rId53" xr:uid="{00000000-0004-0000-0600-000034000000}"/>
    <hyperlink ref="N55" r:id="rId54" xr:uid="{00000000-0004-0000-0600-000035000000}"/>
    <hyperlink ref="N56" r:id="rId55" xr:uid="{00000000-0004-0000-0600-000036000000}"/>
    <hyperlink ref="N57" r:id="rId56" xr:uid="{00000000-0004-0000-0600-000037000000}"/>
    <hyperlink ref="N58" r:id="rId57" xr:uid="{00000000-0004-0000-0600-000038000000}"/>
    <hyperlink ref="N59" r:id="rId58" xr:uid="{00000000-0004-0000-0600-000039000000}"/>
    <hyperlink ref="N60" r:id="rId59" xr:uid="{00000000-0004-0000-0600-00003A000000}"/>
    <hyperlink ref="N61" r:id="rId60" xr:uid="{00000000-0004-0000-0600-00003B000000}"/>
    <hyperlink ref="N62" r:id="rId61" xr:uid="{00000000-0004-0000-0600-00003C000000}"/>
    <hyperlink ref="N63" r:id="rId62" xr:uid="{00000000-0004-0000-0600-00003D000000}"/>
    <hyperlink ref="N64" r:id="rId63" xr:uid="{00000000-0004-0000-0600-00003E000000}"/>
    <hyperlink ref="N65" r:id="rId64" xr:uid="{00000000-0004-0000-0600-00003F000000}"/>
    <hyperlink ref="N66" r:id="rId65" xr:uid="{00000000-0004-0000-0600-000040000000}"/>
    <hyperlink ref="N67" r:id="rId66" xr:uid="{00000000-0004-0000-0600-000041000000}"/>
    <hyperlink ref="N68" r:id="rId67" xr:uid="{00000000-0004-0000-0600-000042000000}"/>
    <hyperlink ref="N69" r:id="rId68" xr:uid="{00000000-0004-0000-0600-000043000000}"/>
    <hyperlink ref="N70" r:id="rId69" xr:uid="{00000000-0004-0000-0600-000044000000}"/>
    <hyperlink ref="N71" r:id="rId70" xr:uid="{00000000-0004-0000-0600-000045000000}"/>
    <hyperlink ref="N72" r:id="rId71" xr:uid="{00000000-0004-0000-0600-000046000000}"/>
    <hyperlink ref="N73" r:id="rId72" xr:uid="{00000000-0004-0000-0600-000047000000}"/>
    <hyperlink ref="N74" r:id="rId73" xr:uid="{00000000-0004-0000-0600-000048000000}"/>
    <hyperlink ref="N75" r:id="rId74" xr:uid="{00000000-0004-0000-0600-000049000000}"/>
    <hyperlink ref="N76" r:id="rId75" xr:uid="{00000000-0004-0000-0600-00004A000000}"/>
    <hyperlink ref="N77" r:id="rId76" xr:uid="{00000000-0004-0000-0600-00004B000000}"/>
    <hyperlink ref="N78" r:id="rId77" xr:uid="{00000000-0004-0000-0600-00004C000000}"/>
    <hyperlink ref="N79" r:id="rId78" xr:uid="{00000000-0004-0000-0600-00004D000000}"/>
    <hyperlink ref="N80" r:id="rId79" xr:uid="{00000000-0004-0000-0600-00004E000000}"/>
    <hyperlink ref="N81" r:id="rId80" xr:uid="{00000000-0004-0000-0600-00004F000000}"/>
    <hyperlink ref="N82" r:id="rId81" xr:uid="{00000000-0004-0000-0600-000050000000}"/>
    <hyperlink ref="N83" r:id="rId82" xr:uid="{00000000-0004-0000-0600-000051000000}"/>
    <hyperlink ref="N84" r:id="rId83" xr:uid="{00000000-0004-0000-0600-000052000000}"/>
    <hyperlink ref="N85" r:id="rId84" xr:uid="{00000000-0004-0000-0600-000053000000}"/>
    <hyperlink ref="N86" r:id="rId85" xr:uid="{00000000-0004-0000-0600-000054000000}"/>
    <hyperlink ref="N87" r:id="rId86" xr:uid="{00000000-0004-0000-0600-000055000000}"/>
    <hyperlink ref="N88" r:id="rId87" xr:uid="{00000000-0004-0000-0600-000056000000}"/>
    <hyperlink ref="N89" r:id="rId88" xr:uid="{00000000-0004-0000-0600-000057000000}"/>
    <hyperlink ref="N90" r:id="rId89" xr:uid="{00000000-0004-0000-0600-000058000000}"/>
    <hyperlink ref="N91" r:id="rId90" xr:uid="{00000000-0004-0000-0600-000059000000}"/>
    <hyperlink ref="N92" r:id="rId91" xr:uid="{00000000-0004-0000-0600-00005A000000}"/>
    <hyperlink ref="N93" r:id="rId92" xr:uid="{00000000-0004-0000-0600-00005B000000}"/>
    <hyperlink ref="N94" r:id="rId93" xr:uid="{00000000-0004-0000-0600-00005C000000}"/>
    <hyperlink ref="N95" r:id="rId94" xr:uid="{00000000-0004-0000-0600-00005D000000}"/>
    <hyperlink ref="N96" r:id="rId95" xr:uid="{00000000-0004-0000-0600-00005E000000}"/>
    <hyperlink ref="N97" r:id="rId96" xr:uid="{00000000-0004-0000-0600-00005F000000}"/>
    <hyperlink ref="N98" r:id="rId97" xr:uid="{00000000-0004-0000-0600-000060000000}"/>
    <hyperlink ref="N99" r:id="rId98" xr:uid="{00000000-0004-0000-0600-000061000000}"/>
    <hyperlink ref="N100" r:id="rId99" xr:uid="{00000000-0004-0000-0600-000062000000}"/>
    <hyperlink ref="N101" r:id="rId100" xr:uid="{00000000-0004-0000-0600-000063000000}"/>
    <hyperlink ref="N102" r:id="rId101" xr:uid="{00000000-0004-0000-0600-000064000000}"/>
    <hyperlink ref="N103" r:id="rId102" xr:uid="{00000000-0004-0000-0600-000065000000}"/>
    <hyperlink ref="N104" r:id="rId103" xr:uid="{00000000-0004-0000-0600-000066000000}"/>
    <hyperlink ref="N105" r:id="rId104" xr:uid="{00000000-0004-0000-0600-000067000000}"/>
    <hyperlink ref="N106" r:id="rId105" xr:uid="{00000000-0004-0000-0600-000068000000}"/>
    <hyperlink ref="N107" r:id="rId106" xr:uid="{00000000-0004-0000-0600-000069000000}"/>
    <hyperlink ref="N108" r:id="rId107" xr:uid="{00000000-0004-0000-0600-00006A000000}"/>
    <hyperlink ref="N109" r:id="rId108" xr:uid="{00000000-0004-0000-0600-00006B000000}"/>
    <hyperlink ref="N110" r:id="rId109" xr:uid="{00000000-0004-0000-0600-00006C000000}"/>
    <hyperlink ref="N111" r:id="rId110" xr:uid="{00000000-0004-0000-0600-00006D000000}"/>
    <hyperlink ref="N112" r:id="rId111" xr:uid="{00000000-0004-0000-0600-00006E000000}"/>
    <hyperlink ref="N113" r:id="rId112" xr:uid="{00000000-0004-0000-0600-00006F000000}"/>
    <hyperlink ref="N114" r:id="rId113" xr:uid="{00000000-0004-0000-0600-000070000000}"/>
    <hyperlink ref="N115" r:id="rId114" xr:uid="{00000000-0004-0000-0600-000071000000}"/>
    <hyperlink ref="N116" r:id="rId115" xr:uid="{00000000-0004-0000-0600-000072000000}"/>
    <hyperlink ref="N117" r:id="rId116" xr:uid="{00000000-0004-0000-0600-000073000000}"/>
    <hyperlink ref="N118" r:id="rId117" xr:uid="{00000000-0004-0000-0600-000074000000}"/>
    <hyperlink ref="N119" r:id="rId118" xr:uid="{00000000-0004-0000-0600-000075000000}"/>
    <hyperlink ref="N120" r:id="rId119" xr:uid="{00000000-0004-0000-0600-000076000000}"/>
    <hyperlink ref="N121" r:id="rId120" xr:uid="{00000000-0004-0000-0600-000077000000}"/>
    <hyperlink ref="N122" r:id="rId121" xr:uid="{00000000-0004-0000-0600-000078000000}"/>
    <hyperlink ref="N123" r:id="rId122" xr:uid="{00000000-0004-0000-0600-000079000000}"/>
    <hyperlink ref="N124" r:id="rId123" xr:uid="{00000000-0004-0000-0600-00007A000000}"/>
    <hyperlink ref="N125" r:id="rId124" xr:uid="{00000000-0004-0000-0600-00007B000000}"/>
    <hyperlink ref="N126" r:id="rId125" xr:uid="{00000000-0004-0000-0600-00007C000000}"/>
    <hyperlink ref="N127" r:id="rId126" xr:uid="{00000000-0004-0000-0600-00007D000000}"/>
    <hyperlink ref="N128" r:id="rId127" xr:uid="{00000000-0004-0000-0600-00007E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Інструкція</vt:lpstr>
      <vt:lpstr>Список покупок</vt:lpstr>
      <vt:lpstr>Плата</vt:lpstr>
      <vt:lpstr>Набори</vt:lpstr>
      <vt:lpstr>Поза платою</vt:lpstr>
      <vt:lpstr>Кошики</vt:lpstr>
      <vt:lpstr>Пропозиції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Battery monitor rev-a: деталі для монтажу і закупівля із запасом</dc:title>
  <dc:creator>battery-monitor-rev-a (make_components_ua.py)</dc:creator>
  <cp:lastModifiedBy>Bogdan Kovalchuk</cp:lastModifiedBy>
  <dcterms:created xsi:type="dcterms:W3CDTF">2026-10-25T15:56:35Z</dcterms:created>
  <dcterms:modified xsi:type="dcterms:W3CDTF">2026-10-25T15:56:40Z</dcterms:modified>
</cp:coreProperties>
</file>